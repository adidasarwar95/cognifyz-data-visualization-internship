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yuri\Desktop\"/>
    </mc:Choice>
  </mc:AlternateContent>
  <xr:revisionPtr revIDLastSave="0" documentId="13_ncr:1_{4F1E6481-FBE9-4876-8667-426537DB8978}" xr6:coauthVersionLast="47" xr6:coauthVersionMax="47" xr10:uidLastSave="{00000000-0000-0000-0000-000000000000}"/>
  <bookViews>
    <workbookView xWindow="-98" yWindow="-98" windowWidth="21795" windowHeight="12975" activeTab="6" xr2:uid="{CBE4F18A-1405-4B0D-9E8A-B036825CCA34}"/>
  </bookViews>
  <sheets>
    <sheet name="Data_set " sheetId="1" r:id="rId1"/>
    <sheet name="Task 1" sheetId="3" r:id="rId2"/>
    <sheet name="Task 2" sheetId="4" r:id="rId3"/>
    <sheet name="Task 3" sheetId="5" r:id="rId4"/>
    <sheet name="Task 4" sheetId="6" r:id="rId5"/>
    <sheet name="Task 5" sheetId="7" r:id="rId6"/>
    <sheet name="Task 6 (Dashboard)" sheetId="9" r:id="rId7"/>
  </sheets>
  <definedNames>
    <definedName name="_xlchart.v1.0" hidden="1">'Task 4'!$A$4:$A$7</definedName>
    <definedName name="_xlchart.v1.1" hidden="1">'Task 4'!$B$3</definedName>
    <definedName name="_xlchart.v1.2" hidden="1">'Task 4'!$B$4:$B$7</definedName>
    <definedName name="_xlchart.v1.3" hidden="1">'Task 4'!$A$4:$A$7</definedName>
    <definedName name="_xlchart.v1.4" hidden="1">'Task 4'!$B$3</definedName>
    <definedName name="_xlchart.v1.5" hidden="1">'Task 4'!$B$4:$B$7</definedName>
    <definedName name="Slicer_gend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2" i="7" l="1"/>
  <c r="C51" i="7"/>
  <c r="C50" i="7"/>
  <c r="C49" i="7"/>
  <c r="B5" i="7"/>
  <c r="C5" i="7" s="1"/>
  <c r="B6" i="7"/>
  <c r="C6" i="7" s="1"/>
  <c r="B7" i="7"/>
  <c r="C7" i="7" s="1"/>
  <c r="B8" i="7"/>
  <c r="C8" i="7" s="1"/>
  <c r="B9" i="7"/>
  <c r="C9" i="7" s="1"/>
  <c r="B10" i="7"/>
  <c r="C10" i="7" s="1"/>
  <c r="B11" i="7"/>
  <c r="C11" i="7" s="1"/>
  <c r="B12" i="7"/>
  <c r="C12" i="7" s="1"/>
  <c r="B13" i="7"/>
  <c r="C13" i="7" s="1"/>
  <c r="B14" i="7"/>
  <c r="C14" i="7" s="1"/>
  <c r="B15" i="7"/>
  <c r="C15" i="7" s="1"/>
  <c r="B16" i="7"/>
  <c r="C16" i="7" s="1"/>
  <c r="B17" i="7"/>
  <c r="C17" i="7" s="1"/>
  <c r="B18" i="7"/>
  <c r="C18" i="7" s="1"/>
  <c r="B19" i="7"/>
  <c r="C19" i="7" s="1"/>
  <c r="B20" i="7"/>
  <c r="C20" i="7" s="1"/>
  <c r="B21" i="7"/>
  <c r="C21" i="7" s="1"/>
  <c r="B22" i="7"/>
  <c r="C22" i="7" s="1"/>
  <c r="B23" i="7"/>
  <c r="C23" i="7" s="1"/>
  <c r="B24" i="7"/>
  <c r="C24" i="7" s="1"/>
  <c r="B25" i="7"/>
  <c r="C25" i="7" s="1"/>
  <c r="B26" i="7"/>
  <c r="C26" i="7" s="1"/>
  <c r="B27" i="7"/>
  <c r="C27" i="7" s="1"/>
  <c r="B28" i="7"/>
  <c r="C28" i="7" s="1"/>
  <c r="B29" i="7"/>
  <c r="C29" i="7" s="1"/>
  <c r="B30" i="7"/>
  <c r="C30" i="7" s="1"/>
  <c r="B31" i="7"/>
  <c r="C31" i="7" s="1"/>
  <c r="B32" i="7"/>
  <c r="C32" i="7" s="1"/>
  <c r="B33" i="7"/>
  <c r="C33" i="7" s="1"/>
  <c r="B34" i="7"/>
  <c r="C34" i="7" s="1"/>
  <c r="B35" i="7"/>
  <c r="C35" i="7" s="1"/>
  <c r="B36" i="7"/>
  <c r="C36" i="7" s="1"/>
  <c r="B37" i="7"/>
  <c r="C37" i="7" s="1"/>
  <c r="B38" i="7"/>
  <c r="C38" i="7" s="1"/>
  <c r="B39" i="7"/>
  <c r="C39" i="7" s="1"/>
  <c r="B40" i="7"/>
  <c r="C40" i="7" s="1"/>
  <c r="B41" i="7"/>
  <c r="C41" i="7" s="1"/>
  <c r="B42" i="7"/>
  <c r="C42" i="7" s="1"/>
  <c r="B43" i="7"/>
  <c r="C43" i="7" s="1"/>
  <c r="B4" i="7"/>
  <c r="C4" i="7" s="1"/>
  <c r="A27" i="7"/>
  <c r="A28" i="7"/>
  <c r="A29" i="7"/>
  <c r="A30" i="7"/>
  <c r="A31" i="7"/>
  <c r="A32" i="7"/>
  <c r="A33" i="7"/>
  <c r="A34" i="7"/>
  <c r="A35" i="7"/>
  <c r="A36" i="7"/>
  <c r="A37" i="7"/>
  <c r="A38" i="7"/>
  <c r="A39" i="7"/>
  <c r="A40" i="7"/>
  <c r="A41" i="7"/>
  <c r="A42" i="7"/>
  <c r="A43" i="7"/>
  <c r="A15" i="7"/>
  <c r="A16" i="7"/>
  <c r="A17" i="7"/>
  <c r="A18" i="7"/>
  <c r="A19" i="7"/>
  <c r="A20" i="7"/>
  <c r="A21" i="7"/>
  <c r="A22" i="7"/>
  <c r="A23" i="7"/>
  <c r="A24" i="7"/>
  <c r="A25" i="7"/>
  <c r="A26" i="7"/>
  <c r="A5" i="7"/>
  <c r="A6" i="7"/>
  <c r="A7" i="7"/>
  <c r="A8" i="7"/>
  <c r="A9" i="7"/>
  <c r="A10" i="7"/>
  <c r="A11" i="7"/>
  <c r="A12" i="7"/>
  <c r="A13" i="7"/>
  <c r="A14" i="7"/>
  <c r="A4" i="7"/>
  <c r="B34" i="6"/>
  <c r="B33" i="6"/>
  <c r="B32" i="6"/>
  <c r="B7" i="6"/>
  <c r="B6" i="6"/>
  <c r="B5" i="6"/>
  <c r="B4" i="6"/>
  <c r="B36" i="5"/>
  <c r="B35" i="5"/>
  <c r="B34" i="5"/>
  <c r="B33" i="5"/>
  <c r="B6" i="5"/>
  <c r="B5" i="5"/>
  <c r="B4" i="5"/>
  <c r="B35" i="4"/>
  <c r="B34" i="4"/>
  <c r="B33" i="4"/>
  <c r="B32" i="4"/>
  <c r="B31" i="4"/>
  <c r="B30" i="4"/>
  <c r="B8" i="4"/>
  <c r="B7" i="4"/>
  <c r="B6" i="4"/>
  <c r="B5" i="4"/>
  <c r="B3" i="3"/>
  <c r="B2" i="3"/>
  <c r="B4" i="3" s="1"/>
</calcChain>
</file>

<file path=xl/sharedStrings.xml><?xml version="1.0" encoding="utf-8"?>
<sst xmlns="http://schemas.openxmlformats.org/spreadsheetml/2006/main" count="720" uniqueCount="100">
  <si>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</si>
  <si>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</si>
  <si>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</si>
  <si>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</si>
  <si>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</si>
  <si>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</si>
  <si>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</si>
  <si>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</si>
  <si>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</si>
  <si>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</si>
  <si>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</si>
  <si>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</si>
  <si>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</si>
  <si>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</si>
  <si>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</si>
  <si>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</si>
  <si>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</si>
  <si>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</si>
  <si>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</si>
  <si>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</si>
  <si>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</si>
  <si>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</si>
  <si>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</si>
  <si>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</si>
  <si>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</si>
  <si>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</si>
  <si>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</si>
  <si>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</si>
  <si>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</si>
  <si>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</si>
  <si>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</si>
  <si>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</si>
  <si>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</si>
  <si>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</si>
  <si>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</si>
  <si>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</si>
  <si>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</si>
  <si>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</si>
  <si>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</si>
  <si>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</si>
  <si>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</si>
  <si>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</si>
  <si>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</si>
  <si>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</si>
  <si>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</si>
  <si>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</si>
  <si>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</si>
  <si>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</si>
  <si>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</si>
  <si>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</si>
  <si>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</si>
  <si>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</si>
  <si>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</si>
  <si>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</si>
  <si>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</si>
  <si>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</si>
  <si>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</si>
  <si>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</si>
  <si>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</si>
  <si>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</si>
  <si>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</si>
  <si>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</si>
  <si>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</si>
  <si>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</si>
  <si>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</si>
  <si>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</si>
  <si>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</si>
  <si>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</si>
  <si>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Total</t>
  </si>
  <si>
    <t>Count</t>
  </si>
  <si>
    <t>Gender</t>
  </si>
  <si>
    <t>Fixed deposit</t>
  </si>
  <si>
    <t>COUNT</t>
  </si>
  <si>
    <t>AVENUE</t>
  </si>
  <si>
    <t>REASON</t>
  </si>
  <si>
    <t xml:space="preserve">Capital Appreciation </t>
  </si>
  <si>
    <t xml:space="preserve">Better Returns </t>
  </si>
  <si>
    <t xml:space="preserve">Dividend </t>
  </si>
  <si>
    <t xml:space="preserve">Safe Investment </t>
  </si>
  <si>
    <t xml:space="preserve">Saving Objective </t>
  </si>
  <si>
    <t>Counts</t>
  </si>
  <si>
    <t>Retirement Plans</t>
  </si>
  <si>
    <t xml:space="preserve">Education </t>
  </si>
  <si>
    <t xml:space="preserve">Chart 1 - Savings Objectives </t>
  </si>
  <si>
    <t xml:space="preserve">Chart 2 - Information Sources </t>
  </si>
  <si>
    <t xml:space="preserve">Source </t>
  </si>
  <si>
    <t xml:space="preserve">Financial Consultants </t>
  </si>
  <si>
    <t>Chart 1 - Distribution of Participants Across Investment Avenues</t>
  </si>
  <si>
    <t>Chart 2 - Reasons Behind Investment Choices</t>
  </si>
  <si>
    <t xml:space="preserve">Duration </t>
  </si>
  <si>
    <t>Chart 1 - Investment Duration</t>
  </si>
  <si>
    <t xml:space="preserve">Chart 2 - Expectation </t>
  </si>
  <si>
    <t xml:space="preserve">Expectation </t>
  </si>
  <si>
    <t>Age</t>
  </si>
  <si>
    <t>Expectation</t>
  </si>
  <si>
    <t>Midpoint</t>
  </si>
  <si>
    <t>Chart 1: Correlation between age and expected returns</t>
  </si>
  <si>
    <t xml:space="preserve">Chart 2 : </t>
  </si>
  <si>
    <t xml:space="preserve">Duration   </t>
  </si>
  <si>
    <t>INVESTMENT BEHAVIOR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</si>
</sst>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
      <b/>
      <sz val="16"/>
      <color theme="2"/>
      <name val="Bahnschrift Light"/>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19" fillId="0" borderId="0" xfId="0" applyFont="1" applyAlignment="1">
      <alignment horizontal="left" vertical="center" wrapText="1"/>
    </xf>
    <xf numFmtId="0" fontId="0" fillId="0" borderId="0" xfId="0" applyAlignment="1">
      <alignment horizontal="right"/>
    </xf>
    <xf numFmtId="0" fontId="0" fillId="34" borderId="0" xfId="0" applyFill="1"/>
    <xf numFmtId="0" fontId="0" fillId="33" borderId="0" xfId="0" applyFill="1" applyAlignment="1">
      <alignment horizontal="center" vertical="center"/>
    </xf>
    <xf numFmtId="0" fontId="23"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Gender Distribution of Investment Survey Respondents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1'!$B$1</c:f>
              <c:strCache>
                <c:ptCount val="1"/>
                <c:pt idx="0">
                  <c:v>Count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BEB-45AC-9718-4D6F22BA5A1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BEB-45AC-9718-4D6F22BA5A1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BEB-45AC-9718-4D6F22BA5A1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4BEB-45AC-9718-4D6F22BA5A1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1'!$A$2:$A$3</c:f>
              <c:strCache>
                <c:ptCount val="2"/>
                <c:pt idx="0">
                  <c:v>Male</c:v>
                </c:pt>
                <c:pt idx="1">
                  <c:v>Female</c:v>
                </c:pt>
              </c:strCache>
            </c:strRef>
          </c:cat>
          <c:val>
            <c:numRef>
              <c:f>'Task 1'!$B$2:$B$3</c:f>
              <c:numCache>
                <c:formatCode>General</c:formatCode>
                <c:ptCount val="2"/>
                <c:pt idx="0">
                  <c:v>25</c:v>
                </c:pt>
                <c:pt idx="1">
                  <c:v>15</c:v>
                </c:pt>
              </c:numCache>
            </c:numRef>
          </c:val>
          <c:extLst>
            <c:ext xmlns:c16="http://schemas.microsoft.com/office/drawing/2014/chart" uri="{C3380CC4-5D6E-409C-BE32-E72D297353CC}">
              <c16:uniqueId val="{00000000-4BEB-45AC-9718-4D6F22BA5A1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Distribution of Participants Across Investment Avenues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'Task 2'!$B$3</c:f>
              <c:strCache>
                <c:ptCount val="1"/>
                <c:pt idx="0">
                  <c:v>COUNT</c:v>
                </c:pt>
              </c:strCache>
            </c:strRef>
          </c:tx>
          <c:spPr>
            <a:pattFill prst="ltUpDiag">
              <a:fgClr>
                <a:schemeClr val="accent1"/>
              </a:fgClr>
              <a:bgClr>
                <a:schemeClr val="lt1"/>
              </a:bgClr>
            </a:pattFill>
            <a:ln>
              <a:noFill/>
            </a:ln>
            <a:effectLst/>
          </c:spPr>
          <c:invertIfNegative val="0"/>
          <c:cat>
            <c:strRef>
              <c:f>'Task 2'!$A$4:$A$8</c:f>
              <c:strCache>
                <c:ptCount val="5"/>
                <c:pt idx="1">
                  <c:v>Mutual Fund</c:v>
                </c:pt>
                <c:pt idx="2">
                  <c:v>Equity</c:v>
                </c:pt>
                <c:pt idx="3">
                  <c:v>Fixed deposit</c:v>
                </c:pt>
                <c:pt idx="4">
                  <c:v>Public Provident Fund</c:v>
                </c:pt>
              </c:strCache>
            </c:strRef>
          </c:cat>
          <c:val>
            <c:numRef>
              <c:f>'Task 2'!$B$4:$B$8</c:f>
              <c:numCache>
                <c:formatCode>General</c:formatCode>
                <c:ptCount val="5"/>
                <c:pt idx="1">
                  <c:v>18</c:v>
                </c:pt>
                <c:pt idx="2">
                  <c:v>10</c:v>
                </c:pt>
                <c:pt idx="3">
                  <c:v>9</c:v>
                </c:pt>
                <c:pt idx="4">
                  <c:v>3</c:v>
                </c:pt>
              </c:numCache>
            </c:numRef>
          </c:val>
          <c:extLst>
            <c:ext xmlns:c16="http://schemas.microsoft.com/office/drawing/2014/chart" uri="{C3380CC4-5D6E-409C-BE32-E72D297353CC}">
              <c16:uniqueId val="{00000000-0D20-4AFF-A2BB-2FEB8E975B32}"/>
            </c:ext>
          </c:extLst>
        </c:ser>
        <c:dLbls>
          <c:showLegendKey val="0"/>
          <c:showVal val="0"/>
          <c:showCatName val="0"/>
          <c:showSerName val="0"/>
          <c:showPercent val="0"/>
          <c:showBubbleSize val="0"/>
        </c:dLbls>
        <c:gapWidth val="269"/>
        <c:overlap val="-20"/>
        <c:axId val="1576293472"/>
        <c:axId val="1576292992"/>
      </c:barChart>
      <c:catAx>
        <c:axId val="15762934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effectLst/>
                    <a:latin typeface="+mn-lt"/>
                    <a:ea typeface="+mn-ea"/>
                    <a:cs typeface="+mn-cs"/>
                  </a:defRPr>
                </a:pPr>
                <a:r>
                  <a:rPr lang="en-IN" sz="900" b="1" i="0" u="none" strike="noStrike" baseline="0">
                    <a:effectLst/>
                  </a:rPr>
                  <a:t>Number of Participants</a:t>
                </a:r>
                <a:endParaRPr lang="en-IN">
                  <a:effectLst/>
                </a:endParaRPr>
              </a:p>
            </c:rich>
          </c:tx>
          <c:overlay val="0"/>
          <c:spPr>
            <a:noFill/>
            <a:ln>
              <a:noFill/>
            </a:ln>
            <a:effectLst>
              <a:outerShdw blurRad="50800" dist="50800" dir="5400000" sx="15000" sy="15000" algn="ctr" rotWithShape="0">
                <a:srgbClr val="000000">
                  <a:alpha val="44000"/>
                </a:srgbClr>
              </a:outerShdw>
            </a:effectLst>
          </c:spPr>
          <c:txPr>
            <a:bodyPr rot="-5400000" spcFirstLastPara="1" vertOverflow="ellipsis" vert="horz" wrap="square" anchor="ctr" anchorCtr="1"/>
            <a:lstStyle/>
            <a:p>
              <a:pPr>
                <a:defRPr sz="900" b="1" i="0" u="none" strike="noStrike" kern="1200" baseline="0">
                  <a:solidFill>
                    <a:schemeClr val="lt1"/>
                  </a:solidFill>
                  <a:effectLst/>
                  <a:latin typeface="+mn-lt"/>
                  <a:ea typeface="+mn-ea"/>
                  <a:cs typeface="+mn-cs"/>
                </a:defRPr>
              </a:pPr>
              <a:endParaRPr lang="en-IN"/>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76292992"/>
        <c:crosses val="autoZero"/>
        <c:auto val="1"/>
        <c:lblAlgn val="ctr"/>
        <c:lblOffset val="100"/>
        <c:noMultiLvlLbl val="0"/>
      </c:catAx>
      <c:valAx>
        <c:axId val="1576292992"/>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Investment Avenue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62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Reasons Behind Investment Choices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'Task 2'!$B$29</c:f>
              <c:strCache>
                <c:ptCount val="1"/>
                <c:pt idx="0">
                  <c:v>COUNT</c:v>
                </c:pt>
              </c:strCache>
            </c:strRef>
          </c:tx>
          <c:spPr>
            <a:pattFill prst="ltUpDiag">
              <a:fgClr>
                <a:schemeClr val="accent1"/>
              </a:fgClr>
              <a:bgClr>
                <a:schemeClr val="lt1"/>
              </a:bgClr>
            </a:pattFill>
            <a:ln>
              <a:noFill/>
            </a:ln>
            <a:effectLst/>
          </c:spPr>
          <c:invertIfNegative val="0"/>
          <c:cat>
            <c:strRef>
              <c:f>'Task 2'!$A$30:$A$35</c:f>
              <c:strCache>
                <c:ptCount val="6"/>
                <c:pt idx="0">
                  <c:v>Capital Appreciation </c:v>
                </c:pt>
                <c:pt idx="1">
                  <c:v>Better Returns </c:v>
                </c:pt>
                <c:pt idx="2">
                  <c:v>Safe Investment </c:v>
                </c:pt>
                <c:pt idx="3">
                  <c:v>Fixed Returns</c:v>
                </c:pt>
                <c:pt idx="4">
                  <c:v>Dividend </c:v>
                </c:pt>
                <c:pt idx="5">
                  <c:v>Tax Benefits</c:v>
                </c:pt>
              </c:strCache>
            </c:strRef>
          </c:cat>
          <c:val>
            <c:numRef>
              <c:f>'Task 2'!$B$30:$B$35</c:f>
              <c:numCache>
                <c:formatCode>General</c:formatCode>
                <c:ptCount val="6"/>
                <c:pt idx="0">
                  <c:v>30</c:v>
                </c:pt>
                <c:pt idx="1">
                  <c:v>24</c:v>
                </c:pt>
                <c:pt idx="2">
                  <c:v>13</c:v>
                </c:pt>
                <c:pt idx="3">
                  <c:v>18</c:v>
                </c:pt>
                <c:pt idx="4">
                  <c:v>8</c:v>
                </c:pt>
                <c:pt idx="5">
                  <c:v>3</c:v>
                </c:pt>
              </c:numCache>
            </c:numRef>
          </c:val>
          <c:extLst>
            <c:ext xmlns:c16="http://schemas.microsoft.com/office/drawing/2014/chart" uri="{C3380CC4-5D6E-409C-BE32-E72D297353CC}">
              <c16:uniqueId val="{00000000-6764-488E-AE0B-4E3E7236A740}"/>
            </c:ext>
          </c:extLst>
        </c:ser>
        <c:dLbls>
          <c:showLegendKey val="0"/>
          <c:showVal val="0"/>
          <c:showCatName val="0"/>
          <c:showSerName val="0"/>
          <c:showPercent val="0"/>
          <c:showBubbleSize val="0"/>
        </c:dLbls>
        <c:gapWidth val="269"/>
        <c:overlap val="-20"/>
        <c:axId val="1554650544"/>
        <c:axId val="1554639984"/>
      </c:barChart>
      <c:catAx>
        <c:axId val="155465054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Reason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54639984"/>
        <c:crosses val="autoZero"/>
        <c:auto val="1"/>
        <c:lblAlgn val="ctr"/>
        <c:lblOffset val="100"/>
        <c:noMultiLvlLbl val="0"/>
      </c:catAx>
      <c:valAx>
        <c:axId val="1554639984"/>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Number of Participants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465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Distribution of Savings Objectives Among Participants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doughnutChart>
        <c:varyColors val="1"/>
        <c:ser>
          <c:idx val="0"/>
          <c:order val="0"/>
          <c:tx>
            <c:strRef>
              <c:f>'Task 3'!$B$3</c:f>
              <c:strCache>
                <c:ptCount val="1"/>
                <c:pt idx="0">
                  <c:v>Counts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27B-457A-8BA4-14B41092A79D}"/>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27B-457A-8BA4-14B41092A79D}"/>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27B-457A-8BA4-14B41092A7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'Task 3'!$A$4:$A$6</c:f>
              <c:strCache>
                <c:ptCount val="3"/>
                <c:pt idx="0">
                  <c:v>Retirement Plans</c:v>
                </c:pt>
                <c:pt idx="1">
                  <c:v>Health Care</c:v>
                </c:pt>
                <c:pt idx="2">
                  <c:v>Education </c:v>
                </c:pt>
              </c:strCache>
            </c:strRef>
          </c:cat>
          <c:val>
            <c:numRef>
              <c:f>'Task 3'!$B$4:$B$6</c:f>
              <c:numCache>
                <c:formatCode>General</c:formatCode>
                <c:ptCount val="3"/>
                <c:pt idx="0">
                  <c:v>24</c:v>
                </c:pt>
                <c:pt idx="1">
                  <c:v>13</c:v>
                </c:pt>
                <c:pt idx="2">
                  <c:v>3</c:v>
                </c:pt>
              </c:numCache>
            </c:numRef>
          </c:val>
          <c:extLst>
            <c:ext xmlns:c16="http://schemas.microsoft.com/office/drawing/2014/chart" uri="{C3380CC4-5D6E-409C-BE32-E72D297353CC}">
              <c16:uniqueId val="{00000000-6AE2-44AE-9C94-30922FD7D17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Frequency of Information Sources Used by Participants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'Task 3'!$B$32</c:f>
              <c:strCache>
                <c:ptCount val="1"/>
                <c:pt idx="0">
                  <c:v>Count</c:v>
                </c:pt>
              </c:strCache>
            </c:strRef>
          </c:tx>
          <c:spPr>
            <a:pattFill prst="ltUpDiag">
              <a:fgClr>
                <a:schemeClr val="accent1"/>
              </a:fgClr>
              <a:bgClr>
                <a:schemeClr val="lt1"/>
              </a:bgClr>
            </a:pattFill>
            <a:ln>
              <a:noFill/>
            </a:ln>
            <a:effectLst/>
          </c:spPr>
          <c:invertIfNegative val="0"/>
          <c:cat>
            <c:strRef>
              <c:f>'Task 3'!$A$33:$A$36</c:f>
              <c:strCache>
                <c:ptCount val="4"/>
                <c:pt idx="0">
                  <c:v>Financial Consultants </c:v>
                </c:pt>
                <c:pt idx="1">
                  <c:v>Newspapers and Magazines</c:v>
                </c:pt>
                <c:pt idx="2">
                  <c:v>Television</c:v>
                </c:pt>
                <c:pt idx="3">
                  <c:v>Internet</c:v>
                </c:pt>
              </c:strCache>
            </c:strRef>
          </c:cat>
          <c:val>
            <c:numRef>
              <c:f>'Task 3'!$B$33:$B$36</c:f>
              <c:numCache>
                <c:formatCode>General</c:formatCode>
                <c:ptCount val="4"/>
                <c:pt idx="0">
                  <c:v>16</c:v>
                </c:pt>
                <c:pt idx="1">
                  <c:v>14</c:v>
                </c:pt>
                <c:pt idx="2">
                  <c:v>6</c:v>
                </c:pt>
                <c:pt idx="3">
                  <c:v>4</c:v>
                </c:pt>
              </c:numCache>
            </c:numRef>
          </c:val>
          <c:extLst>
            <c:ext xmlns:c16="http://schemas.microsoft.com/office/drawing/2014/chart" uri="{C3380CC4-5D6E-409C-BE32-E72D297353CC}">
              <c16:uniqueId val="{00000000-2C4C-4AD0-A12D-F5274B220C52}"/>
            </c:ext>
          </c:extLst>
        </c:ser>
        <c:dLbls>
          <c:showLegendKey val="0"/>
          <c:showVal val="0"/>
          <c:showCatName val="0"/>
          <c:showSerName val="0"/>
          <c:showPercent val="0"/>
          <c:showBubbleSize val="0"/>
        </c:dLbls>
        <c:gapWidth val="269"/>
        <c:overlap val="-20"/>
        <c:axId val="1592719920"/>
        <c:axId val="1592720400"/>
      </c:barChart>
      <c:catAx>
        <c:axId val="15927199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Sources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92720400"/>
        <c:crosses val="autoZero"/>
        <c:auto val="1"/>
        <c:lblAlgn val="ctr"/>
        <c:lblOffset val="100"/>
        <c:noMultiLvlLbl val="0"/>
      </c:catAx>
      <c:valAx>
        <c:axId val="1592720400"/>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Number of Participants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271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Participant Expectations from Investments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'Task 4'!$B$31</c:f>
              <c:strCache>
                <c:ptCount val="1"/>
                <c:pt idx="0">
                  <c:v>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 4'!$A$32:$A$34</c:f>
              <c:strCache>
                <c:ptCount val="3"/>
                <c:pt idx="0">
                  <c:v>10%-20%</c:v>
                </c:pt>
                <c:pt idx="1">
                  <c:v>20%-30%</c:v>
                </c:pt>
                <c:pt idx="2">
                  <c:v>30%-40%</c:v>
                </c:pt>
              </c:strCache>
            </c:strRef>
          </c:cat>
          <c:val>
            <c:numRef>
              <c:f>'Task 4'!$B$32:$B$34</c:f>
              <c:numCache>
                <c:formatCode>General</c:formatCode>
                <c:ptCount val="3"/>
                <c:pt idx="0">
                  <c:v>3</c:v>
                </c:pt>
                <c:pt idx="1">
                  <c:v>32</c:v>
                </c:pt>
                <c:pt idx="2">
                  <c:v>5</c:v>
                </c:pt>
              </c:numCache>
            </c:numRef>
          </c:val>
          <c:extLst>
            <c:ext xmlns:c16="http://schemas.microsoft.com/office/drawing/2014/chart" uri="{C3380CC4-5D6E-409C-BE32-E72D297353CC}">
              <c16:uniqueId val="{00000000-60A1-4329-8BE2-5240173BE891}"/>
            </c:ext>
          </c:extLst>
        </c:ser>
        <c:dLbls>
          <c:showLegendKey val="0"/>
          <c:showVal val="0"/>
          <c:showCatName val="0"/>
          <c:showSerName val="0"/>
          <c:showPercent val="0"/>
          <c:showBubbleSize val="0"/>
        </c:dLbls>
        <c:axId val="1609612080"/>
        <c:axId val="1609612560"/>
      </c:radarChart>
      <c:catAx>
        <c:axId val="1609612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12560"/>
        <c:crosses val="autoZero"/>
        <c:auto val="1"/>
        <c:lblAlgn val="ctr"/>
        <c:lblOffset val="100"/>
        <c:noMultiLvlLbl val="0"/>
      </c:catAx>
      <c:valAx>
        <c:axId val="160961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Correlation Between Age and Expected Returns</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'Task 5'!$A$4:$A$43</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'Task 5'!$C$4:$C$43</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40B4-4A0D-9E06-EF033E6FE079}"/>
            </c:ext>
          </c:extLst>
        </c:ser>
        <c:dLbls>
          <c:showLegendKey val="0"/>
          <c:showVal val="0"/>
          <c:showCatName val="0"/>
          <c:showSerName val="0"/>
          <c:showPercent val="0"/>
          <c:showBubbleSize val="0"/>
        </c:dLbls>
        <c:axId val="2081229808"/>
        <c:axId val="2081224528"/>
      </c:scatterChart>
      <c:valAx>
        <c:axId val="208122980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81224528"/>
        <c:crosses val="autoZero"/>
        <c:crossBetween val="midCat"/>
      </c:valAx>
      <c:valAx>
        <c:axId val="2081224528"/>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Expected Returns</a:t>
                </a:r>
                <a:r>
                  <a:rPr lang="en-IN" baseline="0"/>
                  <a:t> (Midpoint%</a:t>
                </a:r>
              </a:p>
              <a:p>
                <a:pPr>
                  <a:defRPr/>
                </a:pPr>
                <a:r>
                  <a:rPr lang="en-IN" baseline="0"/>
                  <a: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1229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investment Duration vs Expected Returns</a:t>
            </a:r>
            <a:r>
              <a:rPr lang="en-US"/>
              <a: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ubbleChart>
        <c:varyColors val="0"/>
        <c:ser>
          <c:idx val="0"/>
          <c:order val="0"/>
          <c:tx>
            <c:strRef>
              <c:f>'Task 5'!$B$48</c:f>
              <c:strCache>
                <c:ptCount val="1"/>
                <c:pt idx="0">
                  <c:v>Expectation </c:v>
                </c:pt>
              </c:strCache>
            </c:strRef>
          </c:tx>
          <c:spPr>
            <a:pattFill prst="ltUpDiag">
              <a:fgClr>
                <a:schemeClr val="accent1"/>
              </a:fgClr>
              <a:bgClr>
                <a:schemeClr val="accent1">
                  <a:lumMod val="60000"/>
                  <a:lumOff val="40000"/>
                </a:schemeClr>
              </a:bgClr>
            </a:pattFill>
            <a:ln w="19050">
              <a:solidFill>
                <a:schemeClr val="lt1">
                  <a:alpha val="7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'Task 5'!$A$49:$A$52</c:f>
              <c:numCache>
                <c:formatCode>General</c:formatCode>
                <c:ptCount val="4"/>
                <c:pt idx="0">
                  <c:v>1</c:v>
                </c:pt>
                <c:pt idx="1">
                  <c:v>2</c:v>
                </c:pt>
                <c:pt idx="2">
                  <c:v>3</c:v>
                </c:pt>
                <c:pt idx="3">
                  <c:v>4</c:v>
                </c:pt>
              </c:numCache>
            </c:numRef>
          </c:xVal>
          <c:yVal>
            <c:numRef>
              <c:f>'Task 5'!$B$49:$B$52</c:f>
              <c:numCache>
                <c:formatCode>General</c:formatCode>
                <c:ptCount val="4"/>
                <c:pt idx="0">
                  <c:v>25</c:v>
                </c:pt>
                <c:pt idx="1">
                  <c:v>25</c:v>
                </c:pt>
                <c:pt idx="2">
                  <c:v>25</c:v>
                </c:pt>
                <c:pt idx="3">
                  <c:v>35</c:v>
                </c:pt>
              </c:numCache>
            </c:numRef>
          </c:yVal>
          <c:bubbleSize>
            <c:numRef>
              <c:f>'Task 5'!$C$49:$C$52</c:f>
              <c:numCache>
                <c:formatCode>General</c:formatCode>
                <c:ptCount val="4"/>
                <c:pt idx="0">
                  <c:v>2</c:v>
                </c:pt>
                <c:pt idx="1">
                  <c:v>18</c:v>
                </c:pt>
                <c:pt idx="2">
                  <c:v>19</c:v>
                </c:pt>
                <c:pt idx="3">
                  <c:v>1</c:v>
                </c:pt>
              </c:numCache>
            </c:numRef>
          </c:bubbleSize>
          <c:bubble3D val="1"/>
          <c:extLst>
            <c:ext xmlns:c16="http://schemas.microsoft.com/office/drawing/2014/chart" uri="{C3380CC4-5D6E-409C-BE32-E72D297353CC}">
              <c16:uniqueId val="{00000000-BBB6-4B86-A5B9-EA1C71C1B4BB}"/>
            </c:ext>
          </c:extLst>
        </c:ser>
        <c:dLbls>
          <c:dLblPos val="ctr"/>
          <c:showLegendKey val="0"/>
          <c:showVal val="1"/>
          <c:showCatName val="0"/>
          <c:showSerName val="0"/>
          <c:showPercent val="0"/>
          <c:showBubbleSize val="0"/>
        </c:dLbls>
        <c:bubbleScale val="100"/>
        <c:showNegBubbles val="0"/>
        <c:axId val="1795801904"/>
        <c:axId val="1795802384"/>
      </c:bubbleChart>
      <c:valAx>
        <c:axId val="1795801904"/>
        <c:scaling>
          <c:orientation val="minMax"/>
        </c:scaling>
        <c:delete val="0"/>
        <c:axPos val="b"/>
        <c:majorGridlines>
          <c:spPr>
            <a:ln w="9525" cap="flat" cmpd="sng" algn="ctr">
              <a:solidFill>
                <a:schemeClr val="lt1">
                  <a:alpha val="24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Duration (1=&lt;1yr, 2=1-3yrs, 3=3-5yrs, 4=&gt;5yrs)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a:solidFill>
              <a:schemeClr val="lt1"/>
            </a:solid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795802384"/>
        <c:crosses val="autoZero"/>
        <c:crossBetween val="midCat"/>
      </c:valAx>
      <c:valAx>
        <c:axId val="1795802384"/>
        <c:scaling>
          <c:orientation val="minMax"/>
        </c:scaling>
        <c:delete val="0"/>
        <c:axPos val="l"/>
        <c:majorGridlines>
          <c:spPr>
            <a:ln w="9525" cap="flat" cmpd="sng" algn="ctr">
              <a:solidFill>
                <a:schemeClr val="lt1">
                  <a:alpha val="2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Expected Return Midpoint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solidFill>
              <a:schemeClr val="lt1">
                <a:alpha val="5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958019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Gender Distribution of Investment Survey Respondents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'Task 1'!$B$1</c:f>
              <c:strCache>
                <c:ptCount val="1"/>
                <c:pt idx="0">
                  <c:v>Count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997-47B6-A150-FCD6B984F10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997-47B6-A150-FCD6B984F10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997-47B6-A150-FCD6B984F10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997-47B6-A150-FCD6B984F10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1'!$A$2:$A$3</c:f>
              <c:strCache>
                <c:ptCount val="2"/>
                <c:pt idx="0">
                  <c:v>Male</c:v>
                </c:pt>
                <c:pt idx="1">
                  <c:v>Female</c:v>
                </c:pt>
              </c:strCache>
            </c:strRef>
          </c:cat>
          <c:val>
            <c:numRef>
              <c:f>'Task 1'!$B$2:$B$3</c:f>
              <c:numCache>
                <c:formatCode>General</c:formatCode>
                <c:ptCount val="2"/>
                <c:pt idx="0">
                  <c:v>25</c:v>
                </c:pt>
                <c:pt idx="1">
                  <c:v>15</c:v>
                </c:pt>
              </c:numCache>
            </c:numRef>
          </c:val>
          <c:extLst>
            <c:ext xmlns:c16="http://schemas.microsoft.com/office/drawing/2014/chart" uri="{C3380CC4-5D6E-409C-BE32-E72D297353CC}">
              <c16:uniqueId val="{00000004-7997-47B6-A150-FCD6B984F10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Distribution of Participants Across Investment Avenues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'Task 2'!$B$3</c:f>
              <c:strCache>
                <c:ptCount val="1"/>
                <c:pt idx="0">
                  <c:v>COUNT</c:v>
                </c:pt>
              </c:strCache>
            </c:strRef>
          </c:tx>
          <c:spPr>
            <a:pattFill prst="ltUpDiag">
              <a:fgClr>
                <a:schemeClr val="accent1"/>
              </a:fgClr>
              <a:bgClr>
                <a:schemeClr val="lt1"/>
              </a:bgClr>
            </a:pattFill>
            <a:ln>
              <a:noFill/>
            </a:ln>
            <a:effectLst/>
          </c:spPr>
          <c:invertIfNegative val="0"/>
          <c:cat>
            <c:strRef>
              <c:f>'Task 2'!$A$4:$A$8</c:f>
              <c:strCache>
                <c:ptCount val="5"/>
                <c:pt idx="1">
                  <c:v>Mutual Fund</c:v>
                </c:pt>
                <c:pt idx="2">
                  <c:v>Equity</c:v>
                </c:pt>
                <c:pt idx="3">
                  <c:v>Fixed deposit</c:v>
                </c:pt>
                <c:pt idx="4">
                  <c:v>Public Provident Fund</c:v>
                </c:pt>
              </c:strCache>
            </c:strRef>
          </c:cat>
          <c:val>
            <c:numRef>
              <c:f>'Task 2'!$B$4:$B$8</c:f>
              <c:numCache>
                <c:formatCode>General</c:formatCode>
                <c:ptCount val="5"/>
                <c:pt idx="1">
                  <c:v>18</c:v>
                </c:pt>
                <c:pt idx="2">
                  <c:v>10</c:v>
                </c:pt>
                <c:pt idx="3">
                  <c:v>9</c:v>
                </c:pt>
                <c:pt idx="4">
                  <c:v>3</c:v>
                </c:pt>
              </c:numCache>
            </c:numRef>
          </c:val>
          <c:extLst>
            <c:ext xmlns:c16="http://schemas.microsoft.com/office/drawing/2014/chart" uri="{C3380CC4-5D6E-409C-BE32-E72D297353CC}">
              <c16:uniqueId val="{00000000-88CE-4FE6-8A36-1A34714EA220}"/>
            </c:ext>
          </c:extLst>
        </c:ser>
        <c:dLbls>
          <c:showLegendKey val="0"/>
          <c:showVal val="0"/>
          <c:showCatName val="0"/>
          <c:showSerName val="0"/>
          <c:showPercent val="0"/>
          <c:showBubbleSize val="0"/>
        </c:dLbls>
        <c:gapWidth val="269"/>
        <c:overlap val="-20"/>
        <c:axId val="1576293472"/>
        <c:axId val="1576292992"/>
      </c:barChart>
      <c:catAx>
        <c:axId val="15762934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effectLst/>
                    <a:latin typeface="+mn-lt"/>
                    <a:ea typeface="+mn-ea"/>
                    <a:cs typeface="+mn-cs"/>
                  </a:defRPr>
                </a:pPr>
                <a:r>
                  <a:rPr lang="en-IN" sz="900" b="1" i="0" u="none" strike="noStrike" baseline="0">
                    <a:effectLst/>
                  </a:rPr>
                  <a:t>Number of Participants</a:t>
                </a:r>
                <a:endParaRPr lang="en-IN">
                  <a:effectLst/>
                </a:endParaRPr>
              </a:p>
            </c:rich>
          </c:tx>
          <c:overlay val="0"/>
          <c:spPr>
            <a:noFill/>
            <a:ln>
              <a:noFill/>
            </a:ln>
            <a:effectLst>
              <a:outerShdw blurRad="50800" dist="50800" dir="5400000" sx="15000" sy="15000" algn="ctr" rotWithShape="0">
                <a:srgbClr val="000000">
                  <a:alpha val="44000"/>
                </a:srgbClr>
              </a:outerShdw>
            </a:effectLst>
          </c:spPr>
          <c:txPr>
            <a:bodyPr rot="-5400000" spcFirstLastPara="1" vertOverflow="ellipsis" vert="horz" wrap="square" anchor="ctr" anchorCtr="1"/>
            <a:lstStyle/>
            <a:p>
              <a:pPr>
                <a:defRPr sz="900" b="1" i="0" u="none" strike="noStrike" kern="1200" baseline="0">
                  <a:solidFill>
                    <a:schemeClr val="lt1"/>
                  </a:solidFill>
                  <a:effectLst/>
                  <a:latin typeface="+mn-lt"/>
                  <a:ea typeface="+mn-ea"/>
                  <a:cs typeface="+mn-cs"/>
                </a:defRPr>
              </a:pPr>
              <a:endParaRPr lang="en-IN"/>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76292992"/>
        <c:crosses val="autoZero"/>
        <c:auto val="1"/>
        <c:lblAlgn val="ctr"/>
        <c:lblOffset val="100"/>
        <c:noMultiLvlLbl val="0"/>
      </c:catAx>
      <c:valAx>
        <c:axId val="1576292992"/>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Investment Avenue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62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Distribution of Savings Objectives Among Participants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doughnutChart>
        <c:varyColors val="1"/>
        <c:ser>
          <c:idx val="0"/>
          <c:order val="0"/>
          <c:tx>
            <c:strRef>
              <c:f>'Task 3'!$B$3</c:f>
              <c:strCache>
                <c:ptCount val="1"/>
                <c:pt idx="0">
                  <c:v>Counts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E89-4856-9614-246410DD82D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E89-4856-9614-246410DD82D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3E89-4856-9614-246410DD82D7}"/>
              </c:ext>
            </c:extLst>
          </c:dPt>
          <c:dLbls>
            <c:dLbl>
              <c:idx val="0"/>
              <c:layout>
                <c:manualLayout>
                  <c:x val="0.13033560083069959"/>
                  <c:y val="-2.7777777777777776E-2"/>
                </c:manualLayout>
              </c:layout>
              <c:tx>
                <c:rich>
                  <a:bodyPr/>
                  <a:lstStyle/>
                  <a:p>
                    <a:fld id="{F7A49BF2-10F0-413D-B882-F7523CADDA54}" type="CATEGORYNAME">
                      <a:rPr lang="en-US">
                        <a:solidFill>
                          <a:schemeClr val="bg1"/>
                        </a:solidFill>
                      </a:rPr>
                      <a:pPr/>
                      <a:t>[CATEGORY NAME]</a:t>
                    </a:fld>
                    <a:r>
                      <a:rPr lang="en-US" baseline="0">
                        <a:solidFill>
                          <a:schemeClr val="bg1"/>
                        </a:solidFill>
                      </a:rPr>
                      <a:t>
</a:t>
                    </a:r>
                    <a:fld id="{B59BB2A1-F37E-4894-B466-5E365F95CEAC}"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E89-4856-9614-246410DD82D7}"/>
                </c:ext>
              </c:extLst>
            </c:dLbl>
            <c:dLbl>
              <c:idx val="1"/>
              <c:layout>
                <c:manualLayout>
                  <c:x val="-0.10166176864794568"/>
                  <c:y val="-6.1111111111111109E-2"/>
                </c:manualLayout>
              </c:layout>
              <c:tx>
                <c:rich>
                  <a:bodyPr/>
                  <a:lstStyle/>
                  <a:p>
                    <a:fld id="{1DF9060A-6099-4047-8CC6-7A216E5A2C17}" type="CATEGORYNAME">
                      <a:rPr lang="en-US">
                        <a:solidFill>
                          <a:schemeClr val="bg1"/>
                        </a:solidFill>
                      </a:rPr>
                      <a:pPr/>
                      <a:t>[CATEGORY NAME]</a:t>
                    </a:fld>
                    <a:r>
                      <a:rPr lang="en-US" baseline="0"/>
                      <a:t>
</a:t>
                    </a:r>
                    <a:fld id="{F3A160F5-48BC-46EE-9B60-733AF5CA2FA0}"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E89-4856-9614-246410DD82D7}"/>
                </c:ext>
              </c:extLst>
            </c:dLbl>
            <c:dLbl>
              <c:idx val="2"/>
              <c:layout>
                <c:manualLayout>
                  <c:x val="-9.123492058148977E-2"/>
                  <c:y val="-0.10555555555555556"/>
                </c:manualLayout>
              </c:layout>
              <c:tx>
                <c:rich>
                  <a:bodyPr/>
                  <a:lstStyle/>
                  <a:p>
                    <a:fld id="{48E853F8-6AB0-4C1D-A3F6-0F71A7A84C9C}" type="CATEGORYNAME">
                      <a:rPr lang="en-US">
                        <a:solidFill>
                          <a:schemeClr val="bg1"/>
                        </a:solidFill>
                      </a:rPr>
                      <a:pPr/>
                      <a:t>[CATEGORY NAME]</a:t>
                    </a:fld>
                    <a:r>
                      <a:rPr lang="en-US" baseline="0">
                        <a:solidFill>
                          <a:schemeClr val="bg1"/>
                        </a:solidFill>
                      </a:rPr>
                      <a:t>
</a:t>
                    </a:r>
                    <a:fld id="{E19B77F2-1325-4CE7-A795-8DA349D7954E}"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E89-4856-9614-246410DD82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'Task 3'!$A$4:$A$6</c:f>
              <c:strCache>
                <c:ptCount val="3"/>
                <c:pt idx="0">
                  <c:v>Retirement Plans</c:v>
                </c:pt>
                <c:pt idx="1">
                  <c:v>Health Care</c:v>
                </c:pt>
                <c:pt idx="2">
                  <c:v>Education </c:v>
                </c:pt>
              </c:strCache>
            </c:strRef>
          </c:cat>
          <c:val>
            <c:numRef>
              <c:f>'Task 3'!$B$4:$B$6</c:f>
              <c:numCache>
                <c:formatCode>General</c:formatCode>
                <c:ptCount val="3"/>
                <c:pt idx="0">
                  <c:v>24</c:v>
                </c:pt>
                <c:pt idx="1">
                  <c:v>13</c:v>
                </c:pt>
                <c:pt idx="2">
                  <c:v>3</c:v>
                </c:pt>
              </c:numCache>
            </c:numRef>
          </c:val>
          <c:extLst>
            <c:ext xmlns:c16="http://schemas.microsoft.com/office/drawing/2014/chart" uri="{C3380CC4-5D6E-409C-BE32-E72D297353CC}">
              <c16:uniqueId val="{00000006-3E89-4856-9614-246410DD82D7}"/>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Frequency of Information Sources Used by Participants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'Task 3'!$B$32</c:f>
              <c:strCache>
                <c:ptCount val="1"/>
                <c:pt idx="0">
                  <c:v>Count</c:v>
                </c:pt>
              </c:strCache>
            </c:strRef>
          </c:tx>
          <c:spPr>
            <a:pattFill prst="ltUpDiag">
              <a:fgClr>
                <a:schemeClr val="accent1"/>
              </a:fgClr>
              <a:bgClr>
                <a:schemeClr val="lt1"/>
              </a:bgClr>
            </a:pattFill>
            <a:ln>
              <a:noFill/>
            </a:ln>
            <a:effectLst/>
          </c:spPr>
          <c:invertIfNegative val="0"/>
          <c:cat>
            <c:strRef>
              <c:f>'Task 3'!$A$33:$A$36</c:f>
              <c:strCache>
                <c:ptCount val="4"/>
                <c:pt idx="0">
                  <c:v>Financial Consultants </c:v>
                </c:pt>
                <c:pt idx="1">
                  <c:v>Newspapers and Magazines</c:v>
                </c:pt>
                <c:pt idx="2">
                  <c:v>Television</c:v>
                </c:pt>
                <c:pt idx="3">
                  <c:v>Internet</c:v>
                </c:pt>
              </c:strCache>
            </c:strRef>
          </c:cat>
          <c:val>
            <c:numRef>
              <c:f>'Task 3'!$B$33:$B$36</c:f>
              <c:numCache>
                <c:formatCode>General</c:formatCode>
                <c:ptCount val="4"/>
                <c:pt idx="0">
                  <c:v>16</c:v>
                </c:pt>
                <c:pt idx="1">
                  <c:v>14</c:v>
                </c:pt>
                <c:pt idx="2">
                  <c:v>6</c:v>
                </c:pt>
                <c:pt idx="3">
                  <c:v>4</c:v>
                </c:pt>
              </c:numCache>
            </c:numRef>
          </c:val>
          <c:extLst>
            <c:ext xmlns:c16="http://schemas.microsoft.com/office/drawing/2014/chart" uri="{C3380CC4-5D6E-409C-BE32-E72D297353CC}">
              <c16:uniqueId val="{00000000-7024-44A4-8C1A-9DC5ABFB6177}"/>
            </c:ext>
          </c:extLst>
        </c:ser>
        <c:dLbls>
          <c:showLegendKey val="0"/>
          <c:showVal val="0"/>
          <c:showCatName val="0"/>
          <c:showSerName val="0"/>
          <c:showPercent val="0"/>
          <c:showBubbleSize val="0"/>
        </c:dLbls>
        <c:gapWidth val="269"/>
        <c:overlap val="-20"/>
        <c:axId val="1592719920"/>
        <c:axId val="1592720400"/>
      </c:barChart>
      <c:catAx>
        <c:axId val="15927199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Sources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92720400"/>
        <c:crosses val="autoZero"/>
        <c:auto val="1"/>
        <c:lblAlgn val="ctr"/>
        <c:lblOffset val="100"/>
        <c:noMultiLvlLbl val="0"/>
      </c:catAx>
      <c:valAx>
        <c:axId val="1592720400"/>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Number of Participants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271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Distribution of investment duration among participants </cx:v>
        </cx:txData>
      </cx:tx>
      <cx:txPr>
        <a:bodyPr spcFirstLastPara="1" vertOverflow="ellipsis" horzOverflow="overflow" wrap="square" lIns="0" tIns="0" rIns="0" bIns="0" anchor="ctr" anchorCtr="1"/>
        <a:lstStyle/>
        <a:p>
          <a:pPr algn="ctr" rtl="0">
            <a:defRPr/>
          </a:pPr>
          <a:r>
            <a:rPr lang="en-US" sz="1500" b="1" i="0" u="none" strike="noStrike" cap="all" spc="100" baseline="0">
              <a:solidFill>
                <a:sysClr val="window" lastClr="FFFFFF"/>
              </a:solidFill>
              <a:latin typeface="Calibri" panose="020F0502020204030204"/>
            </a:rPr>
            <a:t>Distribution of investment duration among participants </a:t>
          </a:r>
        </a:p>
      </cx:txPr>
    </cx:title>
    <cx:plotArea>
      <cx:plotAreaRegion>
        <cx:series layoutId="clusteredColumn" uniqueId="{DB4A4BE5-5F82-446B-9812-F4F5467A749A}">
          <cx:tx>
            <cx:txData>
              <cx:f>_xlchart.v1.1</cx:f>
              <cx:v>Counts</cx:v>
            </cx:txData>
          </cx:tx>
          <cx:dataId val="0"/>
          <cx:layoutPr>
            <cx:aggregation/>
          </cx:layoutPr>
          <cx:axisId val="1"/>
        </cx:series>
        <cx:series layoutId="paretoLine" ownerIdx="0" uniqueId="{C3178A41-88CD-4551-AFD5-6ABB3278D9A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Distribution of investment duration among participants </cx:v>
        </cx:txData>
      </cx:tx>
      <cx:txPr>
        <a:bodyPr spcFirstLastPara="1" vertOverflow="ellipsis" horzOverflow="overflow" wrap="square" lIns="0" tIns="0" rIns="0" bIns="0" anchor="ctr" anchorCtr="1"/>
        <a:lstStyle/>
        <a:p>
          <a:pPr algn="ctr" rtl="0">
            <a:defRPr/>
          </a:pPr>
          <a:r>
            <a:rPr lang="en-US" sz="1500" b="1" i="0" u="none" strike="noStrike" cap="all" spc="100" baseline="0">
              <a:solidFill>
                <a:sysClr val="window" lastClr="FFFFFF"/>
              </a:solidFill>
              <a:latin typeface="Calibri" panose="020F0502020204030204"/>
            </a:rPr>
            <a:t>Distribution of investment duration among participants </a:t>
          </a:r>
        </a:p>
      </cx:txPr>
    </cx:title>
    <cx:plotArea>
      <cx:plotAreaRegion>
        <cx:series layoutId="clusteredColumn" uniqueId="{DB4A4BE5-5F82-446B-9812-F4F5467A749A}">
          <cx:tx>
            <cx:txData>
              <cx:f>_xlchart.v1.4</cx:f>
              <cx:v>Counts</cx:v>
            </cx:txData>
          </cx:tx>
          <cx:dataId val="0"/>
          <cx:layoutPr>
            <cx:aggregation/>
          </cx:layoutPr>
          <cx:axisId val="1"/>
        </cx:series>
        <cx:series layoutId="paretoLine" ownerIdx="0" uniqueId="{C3178A41-88CD-4551-AFD5-6ABB3278D9A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5">
  <cs:axisTitle>
    <cs:lnRef idx="0"/>
    <cs:fillRef idx="0"/>
    <cs:effectRef idx="0"/>
    <cs:fontRef idx="minor">
      <a:schemeClr val="lt1"/>
    </cs:fontRef>
    <cs:defRPr sz="900" b="1" kern="1200"/>
  </cs:axisTitle>
  <cs:categoryAxis>
    <cs:lnRef idx="0"/>
    <cs:fillRef idx="0"/>
    <cs:effectRef idx="0"/>
    <cs:fontRef idx="minor">
      <a:schemeClr val="lt1"/>
    </cs:fontRef>
    <cs:spPr>
      <a:ln w="12700">
        <a:solidFill>
          <a:schemeClr val="lt1"/>
        </a:solidFill>
      </a:ln>
    </cs:spPr>
    <cs:defRPr sz="900" b="1" kern="1200"/>
  </cs:categoryAxis>
  <cs:chartArea>
    <cs:lnRef idx="0">
      <cs:styleClr val="0"/>
    </cs:lnRef>
    <cs:fillRef idx="0">
      <cs:styleClr val="0"/>
    </cs:fillRef>
    <cs:effectRef idx="0"/>
    <cs:fontRef idx="minor">
      <a:schemeClr val="tx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pattFill prst="ltUpDiag">
        <a:fgClr>
          <a:schemeClr val="phClr"/>
        </a:fgClr>
        <a:bgClr>
          <a:schemeClr val="phClr">
            <a:lumMod val="60000"/>
            <a:lumOff val="40000"/>
          </a:schemeClr>
        </a:bgClr>
      </a:pattFill>
      <a:ln w="19050">
        <a:solidFill>
          <a:schemeClr val="lt1">
            <a:alpha val="70000"/>
          </a:schemeClr>
        </a:solidFill>
      </a:ln>
    </cs:spPr>
  </cs:dataPoint>
  <cs:dataPoint3D>
    <cs:lnRef idx="0"/>
    <cs:fillRef idx="0">
      <cs:styleClr val="auto"/>
    </cs:fillRef>
    <cs:effectRef idx="0"/>
    <cs:fontRef idx="minor">
      <a:schemeClr val="tx1"/>
    </cs:fontRef>
    <cs:spPr>
      <a:pattFill prst="ltUpDiag">
        <a:fgClr>
          <a:schemeClr val="phClr"/>
        </a:fgClr>
        <a:bgClr>
          <a:schemeClr val="phClr">
            <a:lumMod val="60000"/>
            <a:lumOff val="40000"/>
          </a:schemeClr>
        </a:bgClr>
      </a:pattFill>
      <a:ln w="19050">
        <a:solidFill>
          <a:schemeClr val="lt1">
            <a:alpha val="70000"/>
          </a:schemeClr>
        </a:solidFill>
      </a:ln>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lt1">
            <a:alpha val="24000"/>
          </a:schemeClr>
        </a:solidFill>
        <a:round/>
      </a:ln>
    </cs:spPr>
  </cs:gridlineMajor>
  <cs:gridlineMinor>
    <cs:lnRef idx="0"/>
    <cs:fillRef idx="0"/>
    <cs:effectRef idx="0"/>
    <cs:fontRef idx="minor">
      <a:schemeClr val="tx1"/>
    </cs:fontRef>
    <cs:spPr>
      <a:ln>
        <a:solidFill>
          <a:schemeClr val="lt1">
            <a:alpha val="24000"/>
            <a:lumOff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styleClr val="auto"/>
    </cs:lnRef>
    <cs:fillRef idx="0"/>
    <cs:effectRef idx="0"/>
    <cs:fontRef idx="minor">
      <a:schemeClr val="tx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spPr>
      <a:ln>
        <a:solidFill>
          <a:schemeClr val="lt1">
            <a:alpha val="50000"/>
          </a:schemeClr>
        </a:solidFill>
        <a:round/>
      </a:ln>
    </cs:spPr>
    <cs:defRPr sz="900" b="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microsoft.com/office/2014/relationships/chartEx" Target="../charts/chartEx2.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642938</xdr:colOff>
      <xdr:row>1</xdr:row>
      <xdr:rowOff>171450</xdr:rowOff>
    </xdr:from>
    <xdr:to>
      <xdr:col>17</xdr:col>
      <xdr:colOff>0</xdr:colOff>
      <xdr:row>22</xdr:row>
      <xdr:rowOff>157163</xdr:rowOff>
    </xdr:to>
    <xdr:graphicFrame macro="">
      <xdr:nvGraphicFramePr>
        <xdr:cNvPr id="3" name="Chart 2">
          <a:extLst>
            <a:ext uri="{FF2B5EF4-FFF2-40B4-BE49-F238E27FC236}">
              <a16:creationId xmlns:a16="http://schemas.microsoft.com/office/drawing/2014/main" id="{67D0FC19-86E2-2B39-FF70-6C7C04E66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14286</xdr:rowOff>
    </xdr:from>
    <xdr:to>
      <xdr:col>14</xdr:col>
      <xdr:colOff>628650</xdr:colOff>
      <xdr:row>23</xdr:row>
      <xdr:rowOff>19049</xdr:rowOff>
    </xdr:to>
    <xdr:graphicFrame macro="">
      <xdr:nvGraphicFramePr>
        <xdr:cNvPr id="2" name="Chart 1">
          <a:extLst>
            <a:ext uri="{FF2B5EF4-FFF2-40B4-BE49-F238E27FC236}">
              <a16:creationId xmlns:a16="http://schemas.microsoft.com/office/drawing/2014/main" id="{EE98B252-E8E2-C5BF-8301-040C7B3E2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xdr:colOff>
      <xdr:row>27</xdr:row>
      <xdr:rowOff>171450</xdr:rowOff>
    </xdr:from>
    <xdr:to>
      <xdr:col>14</xdr:col>
      <xdr:colOff>638175</xdr:colOff>
      <xdr:row>48</xdr:row>
      <xdr:rowOff>152400</xdr:rowOff>
    </xdr:to>
    <xdr:graphicFrame macro="">
      <xdr:nvGraphicFramePr>
        <xdr:cNvPr id="3" name="Chart 2">
          <a:extLst>
            <a:ext uri="{FF2B5EF4-FFF2-40B4-BE49-F238E27FC236}">
              <a16:creationId xmlns:a16="http://schemas.microsoft.com/office/drawing/2014/main" id="{D36FE662-865B-5796-712F-BB7F80CE2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1359</xdr:colOff>
      <xdr:row>2</xdr:row>
      <xdr:rowOff>9621</xdr:rowOff>
    </xdr:from>
    <xdr:to>
      <xdr:col>15</xdr:col>
      <xdr:colOff>4762</xdr:colOff>
      <xdr:row>26</xdr:row>
      <xdr:rowOff>172519</xdr:rowOff>
    </xdr:to>
    <xdr:graphicFrame macro="">
      <xdr:nvGraphicFramePr>
        <xdr:cNvPr id="2" name="Chart 1">
          <a:extLst>
            <a:ext uri="{FF2B5EF4-FFF2-40B4-BE49-F238E27FC236}">
              <a16:creationId xmlns:a16="http://schemas.microsoft.com/office/drawing/2014/main" id="{A10859CD-725A-AFE0-B8FA-04D797768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19049</xdr:colOff>
      <xdr:row>31</xdr:row>
      <xdr:rowOff>19048</xdr:rowOff>
    </xdr:from>
    <xdr:to>
      <xdr:col>14</xdr:col>
      <xdr:colOff>620023</xdr:colOff>
      <xdr:row>55</xdr:row>
      <xdr:rowOff>62900</xdr:rowOff>
    </xdr:to>
    <xdr:graphicFrame macro="">
      <xdr:nvGraphicFramePr>
        <xdr:cNvPr id="3" name="Chart 2">
          <a:extLst>
            <a:ext uri="{FF2B5EF4-FFF2-40B4-BE49-F238E27FC236}">
              <a16:creationId xmlns:a16="http://schemas.microsoft.com/office/drawing/2014/main" id="{C910294D-8D98-402E-C6E8-6E44AF72B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631031</xdr:colOff>
      <xdr:row>2</xdr:row>
      <xdr:rowOff>17859</xdr:rowOff>
    </xdr:from>
    <xdr:to>
      <xdr:col>20</xdr:col>
      <xdr:colOff>148827</xdr:colOff>
      <xdr:row>27</xdr:row>
      <xdr:rowOff>65485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7D14D81-4BD3-68F6-0E90-E5B51CCCCB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63391" y="517922"/>
              <a:ext cx="11197827" cy="4512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2379</xdr:colOff>
      <xdr:row>29</xdr:row>
      <xdr:rowOff>166686</xdr:rowOff>
    </xdr:from>
    <xdr:to>
      <xdr:col>20</xdr:col>
      <xdr:colOff>196453</xdr:colOff>
      <xdr:row>55</xdr:row>
      <xdr:rowOff>77391</xdr:rowOff>
    </xdr:to>
    <xdr:graphicFrame macro="">
      <xdr:nvGraphicFramePr>
        <xdr:cNvPr id="3" name="Chart 2">
          <a:extLst>
            <a:ext uri="{FF2B5EF4-FFF2-40B4-BE49-F238E27FC236}">
              <a16:creationId xmlns:a16="http://schemas.microsoft.com/office/drawing/2014/main" id="{8A1D3A1E-409A-7C46-6C1E-1B3749C04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6268</xdr:colOff>
      <xdr:row>3</xdr:row>
      <xdr:rowOff>12532</xdr:rowOff>
    </xdr:from>
    <xdr:to>
      <xdr:col>20</xdr:col>
      <xdr:colOff>23814</xdr:colOff>
      <xdr:row>27</xdr:row>
      <xdr:rowOff>112795</xdr:rowOff>
    </xdr:to>
    <xdr:graphicFrame macro="">
      <xdr:nvGraphicFramePr>
        <xdr:cNvPr id="2" name="Chart 1">
          <a:extLst>
            <a:ext uri="{FF2B5EF4-FFF2-40B4-BE49-F238E27FC236}">
              <a16:creationId xmlns:a16="http://schemas.microsoft.com/office/drawing/2014/main" id="{33711B7F-3180-3E98-3E48-27E3894DA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35718</xdr:colOff>
      <xdr:row>46</xdr:row>
      <xdr:rowOff>173830</xdr:rowOff>
    </xdr:from>
    <xdr:to>
      <xdr:col>18</xdr:col>
      <xdr:colOff>642938</xdr:colOff>
      <xdr:row>71</xdr:row>
      <xdr:rowOff>23812</xdr:rowOff>
    </xdr:to>
    <xdr:graphicFrame macro="">
      <xdr:nvGraphicFramePr>
        <xdr:cNvPr id="3" name="Chart 2">
          <a:extLst>
            <a:ext uri="{FF2B5EF4-FFF2-40B4-BE49-F238E27FC236}">
              <a16:creationId xmlns:a16="http://schemas.microsoft.com/office/drawing/2014/main" id="{02E63DE4-3E65-A3C6-0755-8F0C9791B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25065</xdr:colOff>
      <xdr:row>6</xdr:row>
      <xdr:rowOff>125329</xdr:rowOff>
    </xdr:from>
    <xdr:to>
      <xdr:col>9</xdr:col>
      <xdr:colOff>334628</xdr:colOff>
      <xdr:row>17</xdr:row>
      <xdr:rowOff>168191</xdr:rowOff>
    </xdr:to>
    <xdr:graphicFrame macro="">
      <xdr:nvGraphicFramePr>
        <xdr:cNvPr id="2" name="Chart 1">
          <a:extLst>
            <a:ext uri="{FF2B5EF4-FFF2-40B4-BE49-F238E27FC236}">
              <a16:creationId xmlns:a16="http://schemas.microsoft.com/office/drawing/2014/main" id="{CE127247-AA3C-4AB3-A579-0CA38297C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626645</xdr:colOff>
      <xdr:row>6</xdr:row>
      <xdr:rowOff>137863</xdr:rowOff>
    </xdr:from>
    <xdr:to>
      <xdr:col>18</xdr:col>
      <xdr:colOff>484522</xdr:colOff>
      <xdr:row>17</xdr:row>
      <xdr:rowOff>169135</xdr:rowOff>
    </xdr:to>
    <xdr:graphicFrame macro="">
      <xdr:nvGraphicFramePr>
        <xdr:cNvPr id="3" name="Chart 2">
          <a:extLst>
            <a:ext uri="{FF2B5EF4-FFF2-40B4-BE49-F238E27FC236}">
              <a16:creationId xmlns:a16="http://schemas.microsoft.com/office/drawing/2014/main" id="{0F7CE926-BACB-4BC1-8F59-4B15312A6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21</xdr:row>
      <xdr:rowOff>0</xdr:rowOff>
    </xdr:from>
    <xdr:to>
      <xdr:col>9</xdr:col>
      <xdr:colOff>338138</xdr:colOff>
      <xdr:row>33</xdr:row>
      <xdr:rowOff>114300</xdr:rowOff>
    </xdr:to>
    <xdr:graphicFrame macro="">
      <xdr:nvGraphicFramePr>
        <xdr:cNvPr id="4" name="Chart 3">
          <a:extLst>
            <a:ext uri="{FF2B5EF4-FFF2-40B4-BE49-F238E27FC236}">
              <a16:creationId xmlns:a16="http://schemas.microsoft.com/office/drawing/2014/main" id="{551722BD-3616-4866-AA48-B73BCD526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21</xdr:row>
      <xdr:rowOff>0</xdr:rowOff>
    </xdr:from>
    <xdr:to>
      <xdr:col>18</xdr:col>
      <xdr:colOff>523875</xdr:colOff>
      <xdr:row>33</xdr:row>
      <xdr:rowOff>85725</xdr:rowOff>
    </xdr:to>
    <xdr:graphicFrame macro="">
      <xdr:nvGraphicFramePr>
        <xdr:cNvPr id="5" name="Chart 4">
          <a:extLst>
            <a:ext uri="{FF2B5EF4-FFF2-40B4-BE49-F238E27FC236}">
              <a16:creationId xmlns:a16="http://schemas.microsoft.com/office/drawing/2014/main" id="{F3F89D82-67BB-48FA-BBDA-F6666EF27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38</xdr:row>
      <xdr:rowOff>0</xdr:rowOff>
    </xdr:from>
    <xdr:to>
      <xdr:col>18</xdr:col>
      <xdr:colOff>552450</xdr:colOff>
      <xdr:row>62</xdr:row>
      <xdr:rowOff>169069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4A4A860-F72C-41D5-9407-0EAE745BBD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95400" y="6877050"/>
              <a:ext cx="10915650" cy="4512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373879</xdr:colOff>
      <xdr:row>6</xdr:row>
      <xdr:rowOff>120176</xdr:rowOff>
    </xdr:from>
    <xdr:to>
      <xdr:col>1</xdr:col>
      <xdr:colOff>644475</xdr:colOff>
      <xdr:row>12</xdr:row>
      <xdr:rowOff>100045</xdr:rowOff>
    </xdr:to>
    <mc:AlternateContent xmlns:mc="http://schemas.openxmlformats.org/markup-compatibility/2006">
      <mc:Choice xmlns:sle15="http://schemas.microsoft.com/office/drawing/2012/slicer" Requires="sle15">
        <xdr:graphicFrame macro="">
          <xdr:nvGraphicFramePr>
            <xdr:cNvPr id="7" name="gender">
              <a:extLst>
                <a:ext uri="{FF2B5EF4-FFF2-40B4-BE49-F238E27FC236}">
                  <a16:creationId xmlns:a16="http://schemas.microsoft.com/office/drawing/2014/main" id="{2174E003-B186-49E6-88E2-F869508F699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73879" y="1215106"/>
              <a:ext cx="920432" cy="10747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E6E861-B62E-4D91-9A7E-E8000C73DBCA}" sourceName="gende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E8992C6-99F0-4933-B115-E73D1520F529}"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F6977D-ABFD-48AC-806A-555DA53726BE}" name="Table2" displayName="Table2" ref="A1:X41" totalsRowShown="0">
  <autoFilter ref="A1:X41" xr:uid="{52F6977D-ABFD-48AC-806A-555DA53726BE}">
    <filterColumn colId="2">
      <filters>
        <filter val="No"/>
      </filters>
    </filterColumn>
  </autoFilter>
  <tableColumns count="24">
    <tableColumn id="1" xr3:uid="{AFCBF44B-3D00-432D-A5AE-02B597C1570E}" name="gender"/>
    <tableColumn id="2" xr3:uid="{5EC37F85-D24E-4D9F-B73D-C0D294685F43}" name="age"/>
    <tableColumn id="3" xr3:uid="{315743AA-C138-4ED1-AAFA-51799D6DB533}" name="Investment_Avenues"/>
    <tableColumn id="4" xr3:uid="{D7632218-8DA1-4050-BAE8-14B3E7E32CC1}" name="Mutual_Funds"/>
    <tableColumn id="5" xr3:uid="{F5313A11-0117-45E9-AA74-8D6619BEED94}" name="Equity_Market"/>
    <tableColumn id="6" xr3:uid="{926923C9-B198-4FD8-A229-D71EC7F2B6B8}" name="Debentures"/>
    <tableColumn id="7" xr3:uid="{B39DA33B-7C94-466B-95F9-5D62D3CEA49A}" name="Government_Bonds"/>
    <tableColumn id="8" xr3:uid="{E6B9B5B7-AC8F-4013-A070-1A13D1D0781F}" name="Fixed_Deposits"/>
    <tableColumn id="9" xr3:uid="{32796905-242A-443E-A9A9-741904DFF1DE}" name="PPF"/>
    <tableColumn id="10" xr3:uid="{7EF579D7-5804-4A58-9DE8-25EC9A5A950C}" name="Gold"/>
    <tableColumn id="11" xr3:uid="{DC74AB38-91D4-4089-B78A-40B0492EE792}" name="Stock_Marktet"/>
    <tableColumn id="12" xr3:uid="{6B940062-F339-4C83-A67B-D73487DF9E4C}" name="Factor"/>
    <tableColumn id="13" xr3:uid="{7820EBF3-9A68-49AB-ADE2-89FE6B64CD06}" name="Objective"/>
    <tableColumn id="14" xr3:uid="{BBDFC036-77BD-48F6-9095-B3BA8415EA60}" name="Purpose"/>
    <tableColumn id="15" xr3:uid="{4AF9B2F4-A1CC-4FAB-AF81-BF8EDABDD6C5}" name="Duration"/>
    <tableColumn id="16" xr3:uid="{55B42A15-61A7-42E9-A8DA-85EBB971011E}" name="Invest_Monitor"/>
    <tableColumn id="17" xr3:uid="{5535EF9B-632F-44D2-9118-BFAC8F17031C}" name="Expect"/>
    <tableColumn id="18" xr3:uid="{3B51E02A-E5DE-485C-A082-0B4DBC0BA248}" name="Avenue"/>
    <tableColumn id="19" xr3:uid="{A277DDF5-56D5-411A-8ACB-069C7B85D290}" name="What are your savings objectives?"/>
    <tableColumn id="20" xr3:uid="{D976ECC8-AC7F-46D9-90D2-C67D51C20B3C}" name="Reason_Equity"/>
    <tableColumn id="21" xr3:uid="{189B5EE4-4C63-4190-AA7C-E602C7300C99}" name="Reason_Mutual"/>
    <tableColumn id="22" xr3:uid="{0CD842AF-B88C-4081-9116-ED063390CE70}" name="Reason_Bonds"/>
    <tableColumn id="23" xr3:uid="{81D289C5-5B12-446D-958B-94401350F884}" name="Reason_FD"/>
    <tableColumn id="24" xr3:uid="{72420248-6D6C-406D-A567-EA323FD0714B}"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833AF9-2405-43C1-AD94-103B19667291}" name="Table3" displayName="Table3" ref="A1:B4" totalsRowShown="0">
  <autoFilter ref="A1:B4" xr:uid="{23833AF9-2405-43C1-AD94-103B19667291}"/>
  <tableColumns count="2">
    <tableColumn id="1" xr3:uid="{7EA08543-3A71-494C-BAB2-C28AA6052EB6}" name="Gender"/>
    <tableColumn id="2" xr3:uid="{ADB6C753-FAD4-43B5-9F76-649752664D96}" name="Count">
      <calculatedColumnFormula>COUNTIF('Data_set '!$A:$A,"Female")</calculatedColumnFormula>
    </tableColumn>
  </tableColumns>
  <tableStyleInfo name="TableStyleDark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766C2D-16EF-4AFC-BA22-7CEC26A4CB5A}" name="Table4" displayName="Table4" ref="A3:B8" totalsRowShown="0">
  <autoFilter ref="A3:B8" xr:uid="{10766C2D-16EF-4AFC-BA22-7CEC26A4CB5A}"/>
  <tableColumns count="2">
    <tableColumn id="1" xr3:uid="{62B90F5B-9FF4-4DE7-B3D1-32D872AE418B}" name="AVENUE"/>
    <tableColumn id="2" xr3:uid="{8AFEA55F-2F68-4697-B46E-F8CE2B83454F}" name="COUNT"/>
  </tableColumns>
  <tableStyleInfo name="TableStyleDark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438DA5-DFF4-4926-A1F7-0DF665EA8DA7}" name="Table5" displayName="Table5" ref="A29:B35" totalsRowShown="0">
  <autoFilter ref="A29:B35" xr:uid="{4A438DA5-DFF4-4926-A1F7-0DF665EA8DA7}"/>
  <tableColumns count="2">
    <tableColumn id="1" xr3:uid="{1C76448E-F1A4-47C1-A926-1A8DFC4884CA}" name="REASON"/>
    <tableColumn id="2" xr3:uid="{81314913-4AA5-4905-B0E9-F253B73F6C26}" name="COUNT"/>
  </tableColumns>
  <tableStyleInfo name="TableStyleDark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5B9A44-6B46-476A-AE84-C95FE5D8E58D}" name="Table6" displayName="Table6" ref="A3:B6" totalsRowShown="0">
  <autoFilter ref="A3:B6" xr:uid="{D55B9A44-6B46-476A-AE84-C95FE5D8E58D}"/>
  <tableColumns count="2">
    <tableColumn id="1" xr3:uid="{2D2AD96E-4BDD-480B-B63E-BD02347ECA63}" name="Saving Objective "/>
    <tableColumn id="2" xr3:uid="{619F4C12-A08D-4529-856D-EBDDA0D96243}" name="Counts"/>
  </tableColumns>
  <tableStyleInfo name="TableStyleDark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C8621D-6A56-4B71-B237-D4D811AE364D}" name="Table7" displayName="Table7" ref="A32:B36" totalsRowShown="0">
  <autoFilter ref="A32:B36" xr:uid="{40C8621D-6A56-4B71-B237-D4D811AE364D}"/>
  <tableColumns count="2">
    <tableColumn id="1" xr3:uid="{47507B48-4CA6-430D-9600-9FECB75D65F4}" name="Source "/>
    <tableColumn id="2" xr3:uid="{D8A94028-BE6B-42C5-A9C0-4B6E1139C073}" name="C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9E8B6B-8B6B-45CB-AF07-4CA3B20B7D22}" name="Table8" displayName="Table8" ref="A3:B7" totalsRowShown="0">
  <autoFilter ref="A3:B7" xr:uid="{599E8B6B-8B6B-45CB-AF07-4CA3B20B7D22}"/>
  <tableColumns count="2">
    <tableColumn id="1" xr3:uid="{A36E96F2-782C-4C29-BE4B-D07E07A51B26}" name="Duration "/>
    <tableColumn id="2" xr3:uid="{D21BEC6C-47FA-40F6-8A7F-9905B9B8D92C}" name="Counts"/>
  </tableColumns>
  <tableStyleInfo name="TableStyleDark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DFF2AA-38F7-4009-A102-E0C89644BBCE}" name="Table9" displayName="Table9" ref="A31:B34" totalsRowShown="0">
  <autoFilter ref="A31:B34" xr:uid="{29DFF2AA-38F7-4009-A102-E0C89644BBCE}"/>
  <tableColumns count="2">
    <tableColumn id="1" xr3:uid="{0946CB25-CD1C-4433-9346-894E7D84E070}" name="Expectation "/>
    <tableColumn id="2" xr3:uid="{9FD47910-F8D2-47E3-BFD1-769E3E9842B1}" name="Count"/>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760A4C-E4D9-4674-8CCE-551C7D32874E}" name="Table1" displayName="Table1" ref="A48:C52" totalsRowShown="0" headerRowDxfId="0">
  <autoFilter ref="A48:C52" xr:uid="{FE760A4C-E4D9-4674-8CCE-551C7D32874E}"/>
  <tableColumns count="3">
    <tableColumn id="1" xr3:uid="{BADBE915-9E2C-4501-8330-B493039447C8}" name="Duration   "/>
    <tableColumn id="2" xr3:uid="{CA75251E-C95B-4E29-B1C3-755327325EA9}" name="Expectation " dataDxfId="1"/>
    <tableColumn id="3" xr3:uid="{40B798FA-7EC1-4085-A468-9C91056FDBEE}"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E8BC-58DE-427F-AA4E-8B4A30EA204D}">
  <dimension ref="A1:X41"/>
  <sheetViews>
    <sheetView topLeftCell="A8" zoomScale="90" zoomScaleNormal="90" workbookViewId="0">
      <selection activeCell="D22" sqref="A2:X41"/>
    </sheetView>
  </sheetViews>
  <sheetFormatPr defaultRowHeight="14.25" x14ac:dyDescent="0.45"/>
  <cols>
    <col min="3" max="3" width="19.3984375" customWidth="1"/>
    <col min="4" max="4" width="14.1328125" customWidth="1"/>
    <col min="5" max="5" width="14.46484375" customWidth="1"/>
    <col min="6" max="6" width="11.86328125" customWidth="1"/>
    <col min="7" max="7" width="18.59765625" customWidth="1"/>
    <col min="8" max="8" width="14.59765625" customWidth="1"/>
    <col min="11" max="11" width="14.3984375" customWidth="1"/>
    <col min="13" max="13" width="16.9296875" bestFit="1" customWidth="1"/>
    <col min="14" max="14" width="15.1328125" bestFit="1" customWidth="1"/>
    <col min="15" max="15" width="15.265625" bestFit="1" customWidth="1"/>
    <col min="16" max="16" width="14.9296875" customWidth="1"/>
    <col min="17" max="17" width="8.1328125" bestFit="1" customWidth="1"/>
    <col min="18" max="18" width="18.265625" bestFit="1" customWidth="1"/>
    <col min="19" max="19" width="29.73046875" customWidth="1"/>
    <col min="20" max="20" width="16.9296875" bestFit="1" customWidth="1"/>
    <col min="21" max="21" width="16.6640625" bestFit="1" customWidth="1"/>
    <col min="22" max="22" width="14.3984375" customWidth="1"/>
    <col min="23" max="23" width="15.86328125" bestFit="1" customWidth="1"/>
    <col min="24" max="24" width="22.796875" bestFit="1" customWidth="1"/>
  </cols>
  <sheetData>
    <row r="1" spans="1:2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x14ac:dyDescent="0.45">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row>
    <row r="3" spans="1:24" hidden="1" x14ac:dyDescent="0.45">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row>
    <row r="4" spans="1:24" hidden="1" x14ac:dyDescent="0.45">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row>
    <row r="5" spans="1:24" hidden="1" x14ac:dyDescent="0.45">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row>
    <row r="6" spans="1:24" x14ac:dyDescent="0.45">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24" x14ac:dyDescent="0.45">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24" hidden="1" x14ac:dyDescent="0.45">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24" hidden="1" x14ac:dyDescent="0.45">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24" hidden="1" x14ac:dyDescent="0.45">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24" hidden="1" x14ac:dyDescent="0.45">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24" hidden="1" x14ac:dyDescent="0.45">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24" hidden="1" x14ac:dyDescent="0.45">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24" x14ac:dyDescent="0.45">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24" hidden="1" x14ac:dyDescent="0.45">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24" hidden="1" x14ac:dyDescent="0.45">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hidden="1" x14ac:dyDescent="0.45">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hidden="1" x14ac:dyDescent="0.45">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hidden="1" x14ac:dyDescent="0.45">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hidden="1" x14ac:dyDescent="0.45">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hidden="1" x14ac:dyDescent="0.45">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hidden="1" x14ac:dyDescent="0.45">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hidden="1" x14ac:dyDescent="0.45">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hidden="1" x14ac:dyDescent="0.45">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hidden="1" x14ac:dyDescent="0.45">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hidden="1" x14ac:dyDescent="0.45">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hidden="1" x14ac:dyDescent="0.45">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hidden="1" x14ac:dyDescent="0.45">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hidden="1" x14ac:dyDescent="0.45">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hidden="1" x14ac:dyDescent="0.45">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hidden="1" x14ac:dyDescent="0.45">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hidden="1" x14ac:dyDescent="0.45">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hidden="1" x14ac:dyDescent="0.45">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hidden="1" x14ac:dyDescent="0.45">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hidden="1" x14ac:dyDescent="0.45">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hidden="1" x14ac:dyDescent="0.45">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hidden="1" x14ac:dyDescent="0.45">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hidden="1" x14ac:dyDescent="0.45">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hidden="1" x14ac:dyDescent="0.45">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hidden="1" x14ac:dyDescent="0.45">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hidden="1" x14ac:dyDescent="0.45">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9FAC-40D9-43EA-96B1-2DD5E44046EA}">
  <dimension ref="A1:B4"/>
  <sheetViews>
    <sheetView workbookViewId="0">
      <selection activeCell="A12" sqref="A12"/>
    </sheetView>
  </sheetViews>
  <sheetFormatPr defaultRowHeight="14.25" x14ac:dyDescent="0.45"/>
  <cols>
    <col min="1" max="1" width="12.06640625" bestFit="1" customWidth="1"/>
    <col min="2" max="2" width="9.796875" bestFit="1" customWidth="1"/>
  </cols>
  <sheetData>
    <row r="1" spans="1:2" x14ac:dyDescent="0.45">
      <c r="A1" t="s">
        <v>70</v>
      </c>
      <c r="B1" t="s">
        <v>69</v>
      </c>
    </row>
    <row r="2" spans="1:2" x14ac:dyDescent="0.45">
      <c r="A2" t="s">
        <v>46</v>
      </c>
      <c r="B2">
        <f>COUNTIF('Data_set '!$A:$A,"Male")</f>
        <v>25</v>
      </c>
    </row>
    <row r="3" spans="1:2" x14ac:dyDescent="0.45">
      <c r="A3" t="s">
        <v>24</v>
      </c>
      <c r="B3">
        <f>COUNTIF('Data_set '!$A:$A,"Female")</f>
        <v>15</v>
      </c>
    </row>
    <row r="4" spans="1:2" x14ac:dyDescent="0.45">
      <c r="A4" s="1" t="s">
        <v>68</v>
      </c>
      <c r="B4" s="1">
        <f>SUM(B2:B3)</f>
        <v>40</v>
      </c>
    </row>
  </sheetData>
  <phoneticPr fontId="18" type="noConversion"/>
  <pageMargins left="0.7" right="0.7" top="0.75" bottom="0.75" header="0.3" footer="0.3"/>
  <ignoredErrors>
    <ignoredError sqref="B2:B4" calculatedColumn="1"/>
  </ignoredErrors>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4BF2-B6F6-4572-A590-0F0D6977A12A}">
  <dimension ref="A1:F35"/>
  <sheetViews>
    <sheetView zoomScaleNormal="100" workbookViewId="0">
      <selection activeCell="H28" sqref="H28"/>
    </sheetView>
  </sheetViews>
  <sheetFormatPr defaultRowHeight="14.25" x14ac:dyDescent="0.45"/>
  <cols>
    <col min="1" max="1" width="18" bestFit="1" customWidth="1"/>
    <col min="2" max="2" width="9.86328125" customWidth="1"/>
  </cols>
  <sheetData>
    <row r="1" spans="1:6" ht="25.15" customHeight="1" x14ac:dyDescent="0.45">
      <c r="A1" s="6" t="s">
        <v>87</v>
      </c>
      <c r="B1" s="6"/>
      <c r="C1" s="6"/>
      <c r="D1" s="6"/>
      <c r="E1" s="6"/>
      <c r="F1" s="6"/>
    </row>
    <row r="3" spans="1:6" x14ac:dyDescent="0.45">
      <c r="A3" t="s">
        <v>73</v>
      </c>
      <c r="B3" t="s">
        <v>72</v>
      </c>
    </row>
    <row r="5" spans="1:6" x14ac:dyDescent="0.45">
      <c r="A5" t="s">
        <v>32</v>
      </c>
      <c r="B5">
        <f>COUNTIF('Data_set '!$R:$R,"Mutual Fund")</f>
        <v>18</v>
      </c>
    </row>
    <row r="6" spans="1:6" x14ac:dyDescent="0.45">
      <c r="A6" t="s">
        <v>49</v>
      </c>
      <c r="B6">
        <f>COUNTIF('Data_set '!$R:$R,"Equity")</f>
        <v>10</v>
      </c>
    </row>
    <row r="7" spans="1:6" x14ac:dyDescent="0.45">
      <c r="A7" t="s">
        <v>71</v>
      </c>
      <c r="B7">
        <f>COUNTIF('Data_set '!$R:$R,"Fixed Deposits")</f>
        <v>9</v>
      </c>
    </row>
    <row r="8" spans="1:6" x14ac:dyDescent="0.45">
      <c r="A8" t="s">
        <v>67</v>
      </c>
      <c r="B8">
        <f>COUNTIF('Data_set '!$R:$R,"Public Provident Fund")</f>
        <v>3</v>
      </c>
    </row>
    <row r="27" spans="1:2" ht="15.75" x14ac:dyDescent="0.5">
      <c r="A27" s="2" t="s">
        <v>88</v>
      </c>
    </row>
    <row r="29" spans="1:2" x14ac:dyDescent="0.45">
      <c r="A29" t="s">
        <v>74</v>
      </c>
      <c r="B29" t="s">
        <v>72</v>
      </c>
    </row>
    <row r="30" spans="1:2" x14ac:dyDescent="0.45">
      <c r="A30" t="s">
        <v>75</v>
      </c>
      <c r="B30">
        <f>COUNTIF('Data_set '!$T:$T,"Capital Appreciation")</f>
        <v>30</v>
      </c>
    </row>
    <row r="31" spans="1:2" x14ac:dyDescent="0.45">
      <c r="A31" t="s">
        <v>76</v>
      </c>
      <c r="B31">
        <f>COUNTIF('Data_set '!$U:$U,"Better Returns")</f>
        <v>24</v>
      </c>
    </row>
    <row r="32" spans="1:2" x14ac:dyDescent="0.45">
      <c r="A32" t="s">
        <v>78</v>
      </c>
      <c r="B32">
        <f>COUNTIF('Data_set '!$V:$V,"Safe Investment")</f>
        <v>13</v>
      </c>
    </row>
    <row r="33" spans="1:2" x14ac:dyDescent="0.45">
      <c r="A33" t="s">
        <v>36</v>
      </c>
      <c r="B33">
        <f>COUNTIF('Data_set '!$W:$W,"Fixed Returns")</f>
        <v>18</v>
      </c>
    </row>
    <row r="34" spans="1:2" x14ac:dyDescent="0.45">
      <c r="A34" t="s">
        <v>77</v>
      </c>
      <c r="B34">
        <f>COUNTIF('Data_set '!T:T,"Dividend")</f>
        <v>8</v>
      </c>
    </row>
    <row r="35" spans="1:2" x14ac:dyDescent="0.45">
      <c r="A35" t="s">
        <v>50</v>
      </c>
      <c r="B35">
        <f>COUNTIF('Data_set '!U:U,"Tax Benefits")</f>
        <v>3</v>
      </c>
    </row>
  </sheetData>
  <mergeCells count="1">
    <mergeCell ref="A1:F1"/>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84AC-0E90-4934-8297-84CBEB15C327}">
  <dimension ref="A1:B36"/>
  <sheetViews>
    <sheetView topLeftCell="A28" zoomScale="98" workbookViewId="0">
      <selection activeCell="B4" sqref="B4"/>
    </sheetView>
  </sheetViews>
  <sheetFormatPr defaultRowHeight="14.25" x14ac:dyDescent="0.45"/>
  <cols>
    <col min="1" max="1" width="16.53125" customWidth="1"/>
  </cols>
  <sheetData>
    <row r="1" spans="1:2" ht="23.25" x14ac:dyDescent="0.7">
      <c r="A1" s="4" t="s">
        <v>83</v>
      </c>
    </row>
    <row r="3" spans="1:2" x14ac:dyDescent="0.45">
      <c r="A3" t="s">
        <v>79</v>
      </c>
      <c r="B3" t="s">
        <v>80</v>
      </c>
    </row>
    <row r="4" spans="1:2" x14ac:dyDescent="0.45">
      <c r="A4" t="s">
        <v>81</v>
      </c>
      <c r="B4">
        <f>COUNTIF('Data_set '!$S:$S,"Retirement Plan")</f>
        <v>24</v>
      </c>
    </row>
    <row r="5" spans="1:2" x14ac:dyDescent="0.45">
      <c r="A5" t="s">
        <v>42</v>
      </c>
      <c r="B5">
        <f>COUNTIF('Data_set '!$S:$S,"Health Care")</f>
        <v>13</v>
      </c>
    </row>
    <row r="6" spans="1:2" x14ac:dyDescent="0.45">
      <c r="A6" t="s">
        <v>82</v>
      </c>
      <c r="B6">
        <f>COUNTIF('Data_set '!$S:$S,"Education")</f>
        <v>3</v>
      </c>
    </row>
    <row r="30" spans="1:2" ht="23.25" x14ac:dyDescent="0.7">
      <c r="A30" s="4" t="s">
        <v>84</v>
      </c>
    </row>
    <row r="32" spans="1:2" x14ac:dyDescent="0.45">
      <c r="A32" t="s">
        <v>85</v>
      </c>
      <c r="B32" t="s">
        <v>69</v>
      </c>
    </row>
    <row r="33" spans="1:2" x14ac:dyDescent="0.45">
      <c r="A33" t="s">
        <v>86</v>
      </c>
      <c r="B33">
        <f>COUNTIF('Data_set '!$X:$X, "Financial Consultants")</f>
        <v>16</v>
      </c>
    </row>
    <row r="34" spans="1:2" x14ac:dyDescent="0.45">
      <c r="A34" t="s">
        <v>37</v>
      </c>
      <c r="B34">
        <f>COUNTIF('Data_set '!$X:$X,"Newspapers and Magazines")</f>
        <v>14</v>
      </c>
    </row>
    <row r="35" spans="1:2" x14ac:dyDescent="0.45">
      <c r="A35" t="s">
        <v>52</v>
      </c>
      <c r="B35">
        <f>COUNTIF('Data_set '!$X:$X,"Television")</f>
        <v>6</v>
      </c>
    </row>
    <row r="36" spans="1:2" x14ac:dyDescent="0.45">
      <c r="A36" t="s">
        <v>58</v>
      </c>
      <c r="B36">
        <f>COUNTIF('Data_set '!$X:$X,"Internet")</f>
        <v>4</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255C-8DA8-409C-8E9A-4C7C2DAFCB68}">
  <dimension ref="A1:B34"/>
  <sheetViews>
    <sheetView zoomScale="80" workbookViewId="0">
      <selection activeCell="W48" sqref="W48"/>
    </sheetView>
  </sheetViews>
  <sheetFormatPr defaultRowHeight="14.25" x14ac:dyDescent="0.45"/>
  <cols>
    <col min="1" max="1" width="15.19921875" bestFit="1" customWidth="1"/>
  </cols>
  <sheetData>
    <row r="1" spans="1:2" ht="25.5" x14ac:dyDescent="0.75">
      <c r="A1" s="5" t="s">
        <v>90</v>
      </c>
    </row>
    <row r="3" spans="1:2" x14ac:dyDescent="0.45">
      <c r="A3" t="s">
        <v>89</v>
      </c>
      <c r="B3" t="s">
        <v>80</v>
      </c>
    </row>
    <row r="4" spans="1:2" x14ac:dyDescent="0.45">
      <c r="A4" t="s">
        <v>54</v>
      </c>
      <c r="B4">
        <f>COUNTIF('Data_set '!$O:$O,"Less than 1 year")</f>
        <v>2</v>
      </c>
    </row>
    <row r="5" spans="1:2" x14ac:dyDescent="0.45">
      <c r="A5" t="s">
        <v>29</v>
      </c>
      <c r="B5">
        <f>COUNTIF('Data_set '!$O:$O,"1-3 years")</f>
        <v>18</v>
      </c>
    </row>
    <row r="6" spans="1:2" x14ac:dyDescent="0.45">
      <c r="A6" t="s">
        <v>47</v>
      </c>
      <c r="B6">
        <f>COUNTIF('Data_set '!$O:$O,"3-5 years")</f>
        <v>19</v>
      </c>
    </row>
    <row r="7" spans="1:2" x14ac:dyDescent="0.45">
      <c r="A7" t="s">
        <v>40</v>
      </c>
      <c r="B7">
        <f>COUNTIF('Data_set '!$O:$O,"More than 5 years")</f>
        <v>1</v>
      </c>
    </row>
    <row r="29" spans="1:2" ht="25.5" x14ac:dyDescent="0.75">
      <c r="A29" s="5" t="s">
        <v>91</v>
      </c>
    </row>
    <row r="31" spans="1:2" x14ac:dyDescent="0.45">
      <c r="A31" t="s">
        <v>92</v>
      </c>
      <c r="B31" t="s">
        <v>69</v>
      </c>
    </row>
    <row r="32" spans="1:2" x14ac:dyDescent="0.45">
      <c r="A32" t="s">
        <v>55</v>
      </c>
      <c r="B32">
        <f>COUNTIF('Data_set '!$Q:$Q,"10%-20%")</f>
        <v>3</v>
      </c>
    </row>
    <row r="33" spans="1:2" x14ac:dyDescent="0.45">
      <c r="A33" t="s">
        <v>31</v>
      </c>
      <c r="B33">
        <f>COUNTIF('Data_set '!$Q:$Q,"20%-30%")</f>
        <v>32</v>
      </c>
    </row>
    <row r="34" spans="1:2" x14ac:dyDescent="0.45">
      <c r="A34" t="s">
        <v>61</v>
      </c>
      <c r="B34">
        <f>COUNTIF('Data_set '!$Q:$Q,"30%-40%")</f>
        <v>5</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B6FE-39EB-458A-8EAD-53EF9CFE336F}">
  <dimension ref="A1:C52"/>
  <sheetViews>
    <sheetView topLeftCell="A44" workbookViewId="0">
      <selection activeCell="B58" sqref="B58"/>
    </sheetView>
  </sheetViews>
  <sheetFormatPr defaultRowHeight="14.25" x14ac:dyDescent="0.45"/>
  <cols>
    <col min="1" max="1" width="11.1328125" customWidth="1"/>
    <col min="2" max="2" width="12.59765625" style="7" customWidth="1"/>
  </cols>
  <sheetData>
    <row r="1" spans="1:3" ht="18" x14ac:dyDescent="0.55000000000000004">
      <c r="A1" s="3" t="s">
        <v>96</v>
      </c>
    </row>
    <row r="3" spans="1:3" x14ac:dyDescent="0.45">
      <c r="A3" s="7" t="s">
        <v>93</v>
      </c>
      <c r="B3" s="7" t="s">
        <v>94</v>
      </c>
      <c r="C3" s="7" t="s">
        <v>95</v>
      </c>
    </row>
    <row r="4" spans="1:3" x14ac:dyDescent="0.45">
      <c r="A4">
        <f>'Data_set '!$B2</f>
        <v>34</v>
      </c>
      <c r="B4" s="7" t="str">
        <f>'Data_set '!Q2</f>
        <v>20%-30%</v>
      </c>
      <c r="C4">
        <f>IF(B4="10%-20%",15,IF(B4="20%-30%",25,IF(B4="30%-40%",35,0)))</f>
        <v>25</v>
      </c>
    </row>
    <row r="5" spans="1:3" x14ac:dyDescent="0.45">
      <c r="A5">
        <f>'Data_set '!$B3</f>
        <v>23</v>
      </c>
      <c r="B5" s="7" t="str">
        <f>'Data_set '!Q3</f>
        <v>20%-30%</v>
      </c>
      <c r="C5">
        <f t="shared" ref="C5:C43" si="0">IF(B5="10%-20%",15,IF(B5="20%-30%",25,IF(B5="30%-40%",35,0)))</f>
        <v>25</v>
      </c>
    </row>
    <row r="6" spans="1:3" x14ac:dyDescent="0.45">
      <c r="A6">
        <f>'Data_set '!$B4</f>
        <v>30</v>
      </c>
      <c r="B6" s="7" t="str">
        <f>'Data_set '!Q4</f>
        <v>20%-30%</v>
      </c>
      <c r="C6">
        <f t="shared" si="0"/>
        <v>25</v>
      </c>
    </row>
    <row r="7" spans="1:3" x14ac:dyDescent="0.45">
      <c r="A7">
        <f>'Data_set '!$B5</f>
        <v>22</v>
      </c>
      <c r="B7" s="7" t="str">
        <f>'Data_set '!Q5</f>
        <v>10%-20%</v>
      </c>
      <c r="C7">
        <f t="shared" si="0"/>
        <v>15</v>
      </c>
    </row>
    <row r="8" spans="1:3" x14ac:dyDescent="0.45">
      <c r="A8">
        <f>'Data_set '!$B6</f>
        <v>24</v>
      </c>
      <c r="B8" s="7" t="str">
        <f>'Data_set '!Q6</f>
        <v>20%-30%</v>
      </c>
      <c r="C8">
        <f t="shared" si="0"/>
        <v>25</v>
      </c>
    </row>
    <row r="9" spans="1:3" x14ac:dyDescent="0.45">
      <c r="A9">
        <f>'Data_set '!$B7</f>
        <v>24</v>
      </c>
      <c r="B9" s="7" t="str">
        <f>'Data_set '!Q7</f>
        <v>30%-40%</v>
      </c>
      <c r="C9">
        <f t="shared" si="0"/>
        <v>35</v>
      </c>
    </row>
    <row r="10" spans="1:3" x14ac:dyDescent="0.45">
      <c r="A10">
        <f>'Data_set '!$B8</f>
        <v>27</v>
      </c>
      <c r="B10" s="7" t="str">
        <f>'Data_set '!Q8</f>
        <v>20%-30%</v>
      </c>
      <c r="C10">
        <f t="shared" si="0"/>
        <v>25</v>
      </c>
    </row>
    <row r="11" spans="1:3" x14ac:dyDescent="0.45">
      <c r="A11">
        <f>'Data_set '!$B9</f>
        <v>21</v>
      </c>
      <c r="B11" s="7" t="str">
        <f>'Data_set '!Q9</f>
        <v>20%-30%</v>
      </c>
      <c r="C11">
        <f t="shared" si="0"/>
        <v>25</v>
      </c>
    </row>
    <row r="12" spans="1:3" x14ac:dyDescent="0.45">
      <c r="A12">
        <f>'Data_set '!$B10</f>
        <v>35</v>
      </c>
      <c r="B12" s="7" t="str">
        <f>'Data_set '!Q10</f>
        <v>20%-30%</v>
      </c>
      <c r="C12">
        <f t="shared" si="0"/>
        <v>25</v>
      </c>
    </row>
    <row r="13" spans="1:3" x14ac:dyDescent="0.45">
      <c r="A13">
        <f>'Data_set '!$B11</f>
        <v>31</v>
      </c>
      <c r="B13" s="7" t="str">
        <f>'Data_set '!Q11</f>
        <v>30%-40%</v>
      </c>
      <c r="C13">
        <f t="shared" si="0"/>
        <v>35</v>
      </c>
    </row>
    <row r="14" spans="1:3" x14ac:dyDescent="0.45">
      <c r="A14">
        <f>'Data_set '!$B12</f>
        <v>35</v>
      </c>
      <c r="B14" s="7" t="str">
        <f>'Data_set '!Q12</f>
        <v>20%-30%</v>
      </c>
      <c r="C14">
        <f t="shared" si="0"/>
        <v>25</v>
      </c>
    </row>
    <row r="15" spans="1:3" x14ac:dyDescent="0.45">
      <c r="A15">
        <f>'Data_set '!$B13</f>
        <v>29</v>
      </c>
      <c r="B15" s="7" t="str">
        <f>'Data_set '!Q13</f>
        <v>20%-30%</v>
      </c>
      <c r="C15">
        <f t="shared" si="0"/>
        <v>25</v>
      </c>
    </row>
    <row r="16" spans="1:3" x14ac:dyDescent="0.45">
      <c r="A16">
        <f>'Data_set '!$B14</f>
        <v>21</v>
      </c>
      <c r="B16" s="7" t="str">
        <f>'Data_set '!Q14</f>
        <v>20%-30%</v>
      </c>
      <c r="C16">
        <f t="shared" si="0"/>
        <v>25</v>
      </c>
    </row>
    <row r="17" spans="1:3" x14ac:dyDescent="0.45">
      <c r="A17">
        <f>'Data_set '!$B15</f>
        <v>28</v>
      </c>
      <c r="B17" s="7" t="str">
        <f>'Data_set '!Q15</f>
        <v>20%-30%</v>
      </c>
      <c r="C17">
        <f t="shared" si="0"/>
        <v>25</v>
      </c>
    </row>
    <row r="18" spans="1:3" x14ac:dyDescent="0.45">
      <c r="A18">
        <f>'Data_set '!$B16</f>
        <v>25</v>
      </c>
      <c r="B18" s="7" t="str">
        <f>'Data_set '!Q16</f>
        <v>20%-30%</v>
      </c>
      <c r="C18">
        <f t="shared" si="0"/>
        <v>25</v>
      </c>
    </row>
    <row r="19" spans="1:3" x14ac:dyDescent="0.45">
      <c r="A19">
        <f>'Data_set '!$B17</f>
        <v>27</v>
      </c>
      <c r="B19" s="7" t="str">
        <f>'Data_set '!Q17</f>
        <v>20%-30%</v>
      </c>
      <c r="C19">
        <f t="shared" si="0"/>
        <v>25</v>
      </c>
    </row>
    <row r="20" spans="1:3" x14ac:dyDescent="0.45">
      <c r="A20">
        <f>'Data_set '!$B18</f>
        <v>28</v>
      </c>
      <c r="B20" s="7" t="str">
        <f>'Data_set '!Q18</f>
        <v>20%-30%</v>
      </c>
      <c r="C20">
        <f t="shared" si="0"/>
        <v>25</v>
      </c>
    </row>
    <row r="21" spans="1:3" x14ac:dyDescent="0.45">
      <c r="A21">
        <f>'Data_set '!$B19</f>
        <v>27</v>
      </c>
      <c r="B21" s="7" t="str">
        <f>'Data_set '!Q19</f>
        <v>20%-30%</v>
      </c>
      <c r="C21">
        <f t="shared" si="0"/>
        <v>25</v>
      </c>
    </row>
    <row r="22" spans="1:3" x14ac:dyDescent="0.45">
      <c r="A22">
        <f>'Data_set '!$B20</f>
        <v>29</v>
      </c>
      <c r="B22" s="7" t="str">
        <f>'Data_set '!Q20</f>
        <v>20%-30%</v>
      </c>
      <c r="C22">
        <f t="shared" si="0"/>
        <v>25</v>
      </c>
    </row>
    <row r="23" spans="1:3" x14ac:dyDescent="0.45">
      <c r="A23">
        <f>'Data_set '!$B21</f>
        <v>26</v>
      </c>
      <c r="B23" s="7" t="str">
        <f>'Data_set '!Q21</f>
        <v>20%-30%</v>
      </c>
      <c r="C23">
        <f t="shared" si="0"/>
        <v>25</v>
      </c>
    </row>
    <row r="24" spans="1:3" x14ac:dyDescent="0.45">
      <c r="A24">
        <f>'Data_set '!$B22</f>
        <v>29</v>
      </c>
      <c r="B24" s="7" t="str">
        <f>'Data_set '!Q22</f>
        <v>20%-30%</v>
      </c>
      <c r="C24">
        <f t="shared" si="0"/>
        <v>25</v>
      </c>
    </row>
    <row r="25" spans="1:3" x14ac:dyDescent="0.45">
      <c r="A25">
        <f>'Data_set '!$B23</f>
        <v>24</v>
      </c>
      <c r="B25" s="7" t="str">
        <f>'Data_set '!Q23</f>
        <v>20%-30%</v>
      </c>
      <c r="C25">
        <f t="shared" si="0"/>
        <v>25</v>
      </c>
    </row>
    <row r="26" spans="1:3" x14ac:dyDescent="0.45">
      <c r="A26">
        <f>'Data_set '!$B24</f>
        <v>27</v>
      </c>
      <c r="B26" s="7" t="str">
        <f>'Data_set '!Q24</f>
        <v>20%-30%</v>
      </c>
      <c r="C26">
        <f t="shared" si="0"/>
        <v>25</v>
      </c>
    </row>
    <row r="27" spans="1:3" x14ac:dyDescent="0.45">
      <c r="A27">
        <f>'Data_set '!$B25</f>
        <v>25</v>
      </c>
      <c r="B27" s="7" t="str">
        <f>'Data_set '!Q25</f>
        <v>20%-30%</v>
      </c>
      <c r="C27">
        <f t="shared" si="0"/>
        <v>25</v>
      </c>
    </row>
    <row r="28" spans="1:3" x14ac:dyDescent="0.45">
      <c r="A28">
        <f>'Data_set '!$B26</f>
        <v>26</v>
      </c>
      <c r="B28" s="7" t="str">
        <f>'Data_set '!Q26</f>
        <v>30%-40%</v>
      </c>
      <c r="C28">
        <f t="shared" si="0"/>
        <v>35</v>
      </c>
    </row>
    <row r="29" spans="1:3" x14ac:dyDescent="0.45">
      <c r="A29">
        <f>'Data_set '!$B27</f>
        <v>32</v>
      </c>
      <c r="B29" s="7" t="str">
        <f>'Data_set '!Q27</f>
        <v>20%-30%</v>
      </c>
      <c r="C29">
        <f t="shared" si="0"/>
        <v>25</v>
      </c>
    </row>
    <row r="30" spans="1:3" x14ac:dyDescent="0.45">
      <c r="A30">
        <f>'Data_set '!$B28</f>
        <v>26</v>
      </c>
      <c r="B30" s="7" t="str">
        <f>'Data_set '!Q28</f>
        <v>20%-30%</v>
      </c>
      <c r="C30">
        <f t="shared" si="0"/>
        <v>25</v>
      </c>
    </row>
    <row r="31" spans="1:3" x14ac:dyDescent="0.45">
      <c r="A31">
        <f>'Data_set '!$B29</f>
        <v>31</v>
      </c>
      <c r="B31" s="7" t="str">
        <f>'Data_set '!Q29</f>
        <v>20%-30%</v>
      </c>
      <c r="C31">
        <f t="shared" si="0"/>
        <v>25</v>
      </c>
    </row>
    <row r="32" spans="1:3" x14ac:dyDescent="0.45">
      <c r="A32">
        <f>'Data_set '!$B30</f>
        <v>29</v>
      </c>
      <c r="B32" s="7" t="str">
        <f>'Data_set '!Q30</f>
        <v>20%-30%</v>
      </c>
      <c r="C32">
        <f t="shared" si="0"/>
        <v>25</v>
      </c>
    </row>
    <row r="33" spans="1:3" x14ac:dyDescent="0.45">
      <c r="A33">
        <f>'Data_set '!$B31</f>
        <v>34</v>
      </c>
      <c r="B33" s="7" t="str">
        <f>'Data_set '!Q31</f>
        <v>10%-20%</v>
      </c>
      <c r="C33">
        <f t="shared" si="0"/>
        <v>15</v>
      </c>
    </row>
    <row r="34" spans="1:3" x14ac:dyDescent="0.45">
      <c r="A34">
        <f>'Data_set '!$B32</f>
        <v>27</v>
      </c>
      <c r="B34" s="7" t="str">
        <f>'Data_set '!Q32</f>
        <v>10%-20%</v>
      </c>
      <c r="C34">
        <f t="shared" si="0"/>
        <v>15</v>
      </c>
    </row>
    <row r="35" spans="1:3" x14ac:dyDescent="0.45">
      <c r="A35">
        <f>'Data_set '!$B33</f>
        <v>31</v>
      </c>
      <c r="B35" s="7" t="str">
        <f>'Data_set '!Q33</f>
        <v>20%-30%</v>
      </c>
      <c r="C35">
        <f t="shared" si="0"/>
        <v>25</v>
      </c>
    </row>
    <row r="36" spans="1:3" x14ac:dyDescent="0.45">
      <c r="A36">
        <f>'Data_set '!$B34</f>
        <v>27</v>
      </c>
      <c r="B36" s="7" t="str">
        <f>'Data_set '!Q34</f>
        <v>30%-40%</v>
      </c>
      <c r="C36">
        <f t="shared" si="0"/>
        <v>35</v>
      </c>
    </row>
    <row r="37" spans="1:3" x14ac:dyDescent="0.45">
      <c r="A37">
        <f>'Data_set '!$B35</f>
        <v>26</v>
      </c>
      <c r="B37" s="7" t="str">
        <f>'Data_set '!Q35</f>
        <v>20%-30%</v>
      </c>
      <c r="C37">
        <f t="shared" si="0"/>
        <v>25</v>
      </c>
    </row>
    <row r="38" spans="1:3" x14ac:dyDescent="0.45">
      <c r="A38">
        <f>'Data_set '!$B36</f>
        <v>27</v>
      </c>
      <c r="B38" s="7" t="str">
        <f>'Data_set '!Q36</f>
        <v>20%-30%</v>
      </c>
      <c r="C38">
        <f t="shared" si="0"/>
        <v>25</v>
      </c>
    </row>
    <row r="39" spans="1:3" x14ac:dyDescent="0.45">
      <c r="A39">
        <f>'Data_set '!$B37</f>
        <v>30</v>
      </c>
      <c r="B39" s="7" t="str">
        <f>'Data_set '!Q37</f>
        <v>20%-30%</v>
      </c>
      <c r="C39">
        <f t="shared" si="0"/>
        <v>25</v>
      </c>
    </row>
    <row r="40" spans="1:3" x14ac:dyDescent="0.45">
      <c r="A40">
        <f>'Data_set '!$B38</f>
        <v>30</v>
      </c>
      <c r="B40" s="7" t="str">
        <f>'Data_set '!Q38</f>
        <v>20%-30%</v>
      </c>
      <c r="C40">
        <f t="shared" si="0"/>
        <v>25</v>
      </c>
    </row>
    <row r="41" spans="1:3" x14ac:dyDescent="0.45">
      <c r="A41">
        <f>'Data_set '!$B39</f>
        <v>25</v>
      </c>
      <c r="B41" s="7" t="str">
        <f>'Data_set '!Q39</f>
        <v>30%-40%</v>
      </c>
      <c r="C41">
        <f t="shared" si="0"/>
        <v>35</v>
      </c>
    </row>
    <row r="42" spans="1:3" x14ac:dyDescent="0.45">
      <c r="A42">
        <f>'Data_set '!$B40</f>
        <v>31</v>
      </c>
      <c r="B42" s="7" t="str">
        <f>'Data_set '!Q40</f>
        <v>20%-30%</v>
      </c>
      <c r="C42">
        <f t="shared" si="0"/>
        <v>25</v>
      </c>
    </row>
    <row r="43" spans="1:3" x14ac:dyDescent="0.45">
      <c r="A43">
        <f>'Data_set '!$B41</f>
        <v>29</v>
      </c>
      <c r="B43" s="7" t="str">
        <f>'Data_set '!Q41</f>
        <v>20%-30%</v>
      </c>
      <c r="C43">
        <f t="shared" si="0"/>
        <v>25</v>
      </c>
    </row>
    <row r="46" spans="1:3" ht="18" x14ac:dyDescent="0.55000000000000004">
      <c r="A46" s="3" t="s">
        <v>97</v>
      </c>
    </row>
    <row r="48" spans="1:3" x14ac:dyDescent="0.45">
      <c r="A48" s="7" t="s">
        <v>98</v>
      </c>
      <c r="B48" s="7" t="s">
        <v>92</v>
      </c>
      <c r="C48" s="7" t="s">
        <v>69</v>
      </c>
    </row>
    <row r="49" spans="1:3" x14ac:dyDescent="0.45">
      <c r="A49">
        <v>1</v>
      </c>
      <c r="B49" s="7">
        <v>25</v>
      </c>
      <c r="C49">
        <f>COUNTIF('Data_set '!O:O,"Less than 1 year")</f>
        <v>2</v>
      </c>
    </row>
    <row r="50" spans="1:3" x14ac:dyDescent="0.45">
      <c r="A50">
        <v>2</v>
      </c>
      <c r="B50" s="7">
        <v>25</v>
      </c>
      <c r="C50">
        <f>COUNTIF('Data_set '!O:O,"1-3 years")</f>
        <v>18</v>
      </c>
    </row>
    <row r="51" spans="1:3" x14ac:dyDescent="0.45">
      <c r="A51">
        <v>3</v>
      </c>
      <c r="B51" s="7">
        <v>25</v>
      </c>
      <c r="C51">
        <f>COUNTIF('Data_set '!O:O,"3-5 years")</f>
        <v>19</v>
      </c>
    </row>
    <row r="52" spans="1:3" x14ac:dyDescent="0.45">
      <c r="A52">
        <v>4</v>
      </c>
      <c r="B52" s="7">
        <v>35</v>
      </c>
      <c r="C52">
        <f>COUNTIF('Data_set '!O:O,"More than 5 years")</f>
        <v>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28E7-D0CD-4FC2-BECD-54783F695CB4}">
  <dimension ref="A1:U68"/>
  <sheetViews>
    <sheetView tabSelected="1" zoomScale="107" workbookViewId="0">
      <selection activeCell="K18" sqref="K18"/>
    </sheetView>
  </sheetViews>
  <sheetFormatPr defaultRowHeight="14.25" x14ac:dyDescent="0.45"/>
  <sheetData>
    <row r="1" spans="1:21" x14ac:dyDescent="0.45">
      <c r="A1" s="10" t="s">
        <v>99</v>
      </c>
      <c r="B1" s="9"/>
      <c r="C1" s="9"/>
      <c r="D1" s="9"/>
      <c r="E1" s="9"/>
      <c r="F1" s="9"/>
      <c r="G1" s="9"/>
      <c r="H1" s="9"/>
      <c r="I1" s="9"/>
      <c r="J1" s="9"/>
      <c r="K1" s="9"/>
      <c r="L1" s="9"/>
      <c r="M1" s="9"/>
      <c r="N1" s="9"/>
      <c r="O1" s="9"/>
      <c r="P1" s="9"/>
      <c r="Q1" s="9"/>
      <c r="R1" s="9"/>
      <c r="S1" s="9"/>
      <c r="T1" s="9"/>
      <c r="U1" s="9"/>
    </row>
    <row r="2" spans="1:21" x14ac:dyDescent="0.45">
      <c r="A2" s="9"/>
      <c r="B2" s="9"/>
      <c r="C2" s="9"/>
      <c r="D2" s="9"/>
      <c r="E2" s="9"/>
      <c r="F2" s="9"/>
      <c r="G2" s="9"/>
      <c r="H2" s="9"/>
      <c r="I2" s="9"/>
      <c r="J2" s="9"/>
      <c r="K2" s="9"/>
      <c r="L2" s="9"/>
      <c r="M2" s="9"/>
      <c r="N2" s="9"/>
      <c r="O2" s="9"/>
      <c r="P2" s="9"/>
      <c r="Q2" s="9"/>
      <c r="R2" s="9"/>
      <c r="S2" s="9"/>
      <c r="T2" s="9"/>
      <c r="U2" s="9"/>
    </row>
    <row r="3" spans="1:21" x14ac:dyDescent="0.45">
      <c r="A3" s="9"/>
      <c r="B3" s="9"/>
      <c r="C3" s="9"/>
      <c r="D3" s="9"/>
      <c r="E3" s="9"/>
      <c r="F3" s="9"/>
      <c r="G3" s="9"/>
      <c r="H3" s="9"/>
      <c r="I3" s="9"/>
      <c r="J3" s="9"/>
      <c r="K3" s="9"/>
      <c r="L3" s="9"/>
      <c r="M3" s="9"/>
      <c r="N3" s="9"/>
      <c r="O3" s="9"/>
      <c r="P3" s="9"/>
      <c r="Q3" s="9"/>
      <c r="R3" s="9"/>
      <c r="S3" s="9"/>
      <c r="T3" s="9"/>
      <c r="U3" s="9"/>
    </row>
    <row r="4" spans="1:21" x14ac:dyDescent="0.45">
      <c r="A4" s="9"/>
      <c r="B4" s="9"/>
      <c r="C4" s="9"/>
      <c r="D4" s="9"/>
      <c r="E4" s="9"/>
      <c r="F4" s="9"/>
      <c r="G4" s="9"/>
      <c r="H4" s="9"/>
      <c r="I4" s="9"/>
      <c r="J4" s="9"/>
      <c r="K4" s="9"/>
      <c r="L4" s="9"/>
      <c r="M4" s="9"/>
      <c r="N4" s="9"/>
      <c r="O4" s="9"/>
      <c r="P4" s="9"/>
      <c r="Q4" s="9"/>
      <c r="R4" s="9"/>
      <c r="S4" s="9"/>
      <c r="T4" s="9"/>
      <c r="U4" s="9"/>
    </row>
    <row r="5" spans="1:21" x14ac:dyDescent="0.45">
      <c r="A5" s="8"/>
      <c r="B5" s="8"/>
      <c r="C5" s="8"/>
      <c r="D5" s="8"/>
      <c r="E5" s="8"/>
      <c r="F5" s="8"/>
      <c r="G5" s="8"/>
      <c r="H5" s="8"/>
      <c r="I5" s="8"/>
      <c r="J5" s="8"/>
      <c r="K5" s="8"/>
      <c r="L5" s="8"/>
      <c r="M5" s="8"/>
      <c r="N5" s="8"/>
      <c r="O5" s="8"/>
      <c r="P5" s="8"/>
      <c r="Q5" s="8"/>
      <c r="R5" s="8"/>
      <c r="S5" s="8"/>
      <c r="T5" s="8"/>
      <c r="U5" s="8"/>
    </row>
    <row r="6" spans="1:21" x14ac:dyDescent="0.45">
      <c r="A6" s="8"/>
      <c r="B6" s="8"/>
      <c r="C6" s="8"/>
      <c r="D6" s="8"/>
      <c r="E6" s="8"/>
      <c r="F6" s="8"/>
      <c r="G6" s="8"/>
      <c r="H6" s="8"/>
      <c r="I6" s="8"/>
      <c r="J6" s="8"/>
      <c r="K6" s="8"/>
      <c r="L6" s="8"/>
      <c r="M6" s="8"/>
      <c r="N6" s="8"/>
      <c r="O6" s="8"/>
      <c r="P6" s="8"/>
      <c r="Q6" s="8"/>
      <c r="R6" s="8"/>
      <c r="S6" s="8"/>
      <c r="T6" s="8"/>
      <c r="U6" s="8"/>
    </row>
    <row r="7" spans="1:21" x14ac:dyDescent="0.45">
      <c r="A7" s="8"/>
      <c r="B7" s="8"/>
      <c r="C7" s="8"/>
      <c r="D7" s="8"/>
      <c r="E7" s="8"/>
      <c r="F7" s="8"/>
      <c r="G7" s="8"/>
      <c r="H7" s="8"/>
      <c r="I7" s="8"/>
      <c r="J7" s="8"/>
      <c r="K7" s="8"/>
      <c r="L7" s="8"/>
      <c r="M7" s="8"/>
      <c r="N7" s="8"/>
      <c r="O7" s="8"/>
      <c r="P7" s="8"/>
      <c r="Q7" s="8"/>
      <c r="R7" s="8"/>
      <c r="S7" s="8"/>
      <c r="T7" s="8"/>
      <c r="U7" s="8"/>
    </row>
    <row r="8" spans="1:21" x14ac:dyDescent="0.45">
      <c r="A8" s="8"/>
      <c r="B8" s="8"/>
      <c r="C8" s="8"/>
      <c r="D8" s="8"/>
      <c r="E8" s="8"/>
      <c r="F8" s="8"/>
      <c r="G8" s="8"/>
      <c r="H8" s="8"/>
      <c r="I8" s="8"/>
      <c r="J8" s="8"/>
      <c r="K8" s="8"/>
      <c r="L8" s="8"/>
      <c r="M8" s="8"/>
      <c r="N8" s="8"/>
      <c r="O8" s="8"/>
      <c r="P8" s="8"/>
      <c r="Q8" s="8"/>
      <c r="R8" s="8"/>
      <c r="S8" s="8"/>
      <c r="T8" s="8"/>
      <c r="U8" s="8"/>
    </row>
    <row r="9" spans="1:21" x14ac:dyDescent="0.45">
      <c r="A9" s="8"/>
      <c r="B9" s="8"/>
      <c r="C9" s="8"/>
      <c r="D9" s="8"/>
      <c r="E9" s="8"/>
      <c r="F9" s="8"/>
      <c r="G9" s="8"/>
      <c r="H9" s="8"/>
      <c r="I9" s="8"/>
      <c r="J9" s="8"/>
      <c r="K9" s="8"/>
      <c r="L9" s="8"/>
      <c r="M9" s="8"/>
      <c r="N9" s="8"/>
      <c r="O9" s="8"/>
      <c r="P9" s="8"/>
      <c r="Q9" s="8"/>
      <c r="R9" s="8"/>
      <c r="S9" s="8"/>
      <c r="T9" s="8"/>
      <c r="U9" s="8"/>
    </row>
    <row r="10" spans="1:21" x14ac:dyDescent="0.45">
      <c r="A10" s="8"/>
      <c r="B10" s="8"/>
      <c r="C10" s="8"/>
      <c r="D10" s="8"/>
      <c r="E10" s="8"/>
      <c r="F10" s="8"/>
      <c r="G10" s="8"/>
      <c r="H10" s="8"/>
      <c r="I10" s="8"/>
      <c r="J10" s="8"/>
      <c r="K10" s="8"/>
      <c r="L10" s="8"/>
      <c r="M10" s="8"/>
      <c r="N10" s="8"/>
      <c r="O10" s="8"/>
      <c r="P10" s="8"/>
      <c r="Q10" s="8"/>
      <c r="R10" s="8"/>
      <c r="S10" s="8"/>
      <c r="T10" s="8"/>
      <c r="U10" s="8"/>
    </row>
    <row r="11" spans="1:21" x14ac:dyDescent="0.45">
      <c r="A11" s="8"/>
      <c r="B11" s="8"/>
      <c r="C11" s="8"/>
      <c r="D11" s="8"/>
      <c r="E11" s="8"/>
      <c r="F11" s="8"/>
      <c r="G11" s="8"/>
      <c r="H11" s="8"/>
      <c r="I11" s="8"/>
      <c r="J11" s="8"/>
      <c r="K11" s="8"/>
      <c r="L11" s="8"/>
      <c r="M11" s="8"/>
      <c r="N11" s="8"/>
      <c r="O11" s="8"/>
      <c r="P11" s="8"/>
      <c r="Q11" s="8"/>
      <c r="R11" s="8"/>
      <c r="S11" s="8"/>
      <c r="T11" s="8"/>
      <c r="U11" s="8"/>
    </row>
    <row r="12" spans="1:21" x14ac:dyDescent="0.45">
      <c r="A12" s="8"/>
      <c r="B12" s="8"/>
      <c r="C12" s="8"/>
      <c r="D12" s="8"/>
      <c r="E12" s="8"/>
      <c r="F12" s="8"/>
      <c r="G12" s="8"/>
      <c r="H12" s="8"/>
      <c r="I12" s="8"/>
      <c r="J12" s="8"/>
      <c r="K12" s="8"/>
      <c r="L12" s="8"/>
      <c r="M12" s="8"/>
      <c r="N12" s="8"/>
      <c r="O12" s="8"/>
      <c r="P12" s="8"/>
      <c r="Q12" s="8"/>
      <c r="R12" s="8"/>
      <c r="S12" s="8"/>
      <c r="T12" s="8"/>
      <c r="U12" s="8"/>
    </row>
    <row r="13" spans="1:21" x14ac:dyDescent="0.45">
      <c r="A13" s="8"/>
      <c r="B13" s="8"/>
      <c r="C13" s="8"/>
      <c r="D13" s="8"/>
      <c r="E13" s="8"/>
      <c r="F13" s="8"/>
      <c r="G13" s="8"/>
      <c r="H13" s="8"/>
      <c r="I13" s="8"/>
      <c r="J13" s="8"/>
      <c r="K13" s="8"/>
      <c r="L13" s="8"/>
      <c r="M13" s="8"/>
      <c r="N13" s="8"/>
      <c r="O13" s="8"/>
      <c r="P13" s="8"/>
      <c r="Q13" s="8"/>
      <c r="R13" s="8"/>
      <c r="S13" s="8"/>
      <c r="T13" s="8"/>
      <c r="U13" s="8"/>
    </row>
    <row r="14" spans="1:21" x14ac:dyDescent="0.45">
      <c r="A14" s="8"/>
      <c r="B14" s="8"/>
      <c r="C14" s="8"/>
      <c r="D14" s="8"/>
      <c r="E14" s="8"/>
      <c r="F14" s="8"/>
      <c r="G14" s="8"/>
      <c r="H14" s="8"/>
      <c r="I14" s="8"/>
      <c r="J14" s="8"/>
      <c r="K14" s="8"/>
      <c r="L14" s="8"/>
      <c r="M14" s="8"/>
      <c r="N14" s="8"/>
      <c r="O14" s="8"/>
      <c r="P14" s="8"/>
      <c r="Q14" s="8"/>
      <c r="R14" s="8"/>
      <c r="S14" s="8"/>
      <c r="T14" s="8"/>
      <c r="U14" s="8"/>
    </row>
    <row r="15" spans="1:21" x14ac:dyDescent="0.45">
      <c r="A15" s="8"/>
      <c r="B15" s="8"/>
      <c r="C15" s="8"/>
      <c r="D15" s="8"/>
      <c r="E15" s="8"/>
      <c r="F15" s="8"/>
      <c r="G15" s="8"/>
      <c r="H15" s="8"/>
      <c r="I15" s="8"/>
      <c r="J15" s="8"/>
      <c r="K15" s="8"/>
      <c r="L15" s="8"/>
      <c r="M15" s="8"/>
      <c r="N15" s="8"/>
      <c r="O15" s="8"/>
      <c r="P15" s="8"/>
      <c r="Q15" s="8"/>
      <c r="R15" s="8"/>
      <c r="S15" s="8"/>
      <c r="T15" s="8"/>
      <c r="U15" s="8"/>
    </row>
    <row r="16" spans="1:21" x14ac:dyDescent="0.45">
      <c r="A16" s="8"/>
      <c r="B16" s="8"/>
      <c r="C16" s="8"/>
      <c r="D16" s="8"/>
      <c r="E16" s="8"/>
      <c r="F16" s="8"/>
      <c r="G16" s="8"/>
      <c r="H16" s="8"/>
      <c r="I16" s="8"/>
      <c r="J16" s="8"/>
      <c r="K16" s="8"/>
      <c r="L16" s="8"/>
      <c r="M16" s="8"/>
      <c r="N16" s="8"/>
      <c r="O16" s="8"/>
      <c r="P16" s="8"/>
      <c r="Q16" s="8"/>
      <c r="R16" s="8"/>
      <c r="S16" s="8"/>
      <c r="T16" s="8"/>
      <c r="U16" s="8"/>
    </row>
    <row r="17" spans="1:21" x14ac:dyDescent="0.45">
      <c r="A17" s="8"/>
      <c r="B17" s="8"/>
      <c r="C17" s="8"/>
      <c r="D17" s="8"/>
      <c r="E17" s="8"/>
      <c r="F17" s="8"/>
      <c r="G17" s="8"/>
      <c r="H17" s="8"/>
      <c r="I17" s="8"/>
      <c r="J17" s="8"/>
      <c r="K17" s="8"/>
      <c r="L17" s="8"/>
      <c r="M17" s="8"/>
      <c r="N17" s="8"/>
      <c r="O17" s="8"/>
      <c r="P17" s="8"/>
      <c r="Q17" s="8"/>
      <c r="R17" s="8"/>
      <c r="S17" s="8"/>
      <c r="T17" s="8"/>
      <c r="U17" s="8"/>
    </row>
    <row r="18" spans="1:21" x14ac:dyDescent="0.45">
      <c r="A18" s="8"/>
      <c r="B18" s="8"/>
      <c r="C18" s="8"/>
      <c r="D18" s="8"/>
      <c r="E18" s="8"/>
      <c r="F18" s="8"/>
      <c r="G18" s="8"/>
      <c r="H18" s="8"/>
      <c r="I18" s="8"/>
      <c r="J18" s="8"/>
      <c r="K18" s="8"/>
      <c r="L18" s="8"/>
      <c r="M18" s="8"/>
      <c r="N18" s="8"/>
      <c r="O18" s="8"/>
      <c r="P18" s="8"/>
      <c r="Q18" s="8"/>
      <c r="R18" s="8"/>
      <c r="S18" s="8"/>
      <c r="T18" s="8"/>
      <c r="U18" s="8"/>
    </row>
    <row r="19" spans="1:21" x14ac:dyDescent="0.45">
      <c r="A19" s="8"/>
      <c r="B19" s="8"/>
      <c r="C19" s="8"/>
      <c r="D19" s="8"/>
      <c r="E19" s="8"/>
      <c r="F19" s="8"/>
      <c r="G19" s="8"/>
      <c r="H19" s="8"/>
      <c r="I19" s="8"/>
      <c r="J19" s="8"/>
      <c r="K19" s="8"/>
      <c r="L19" s="8"/>
      <c r="M19" s="8"/>
      <c r="N19" s="8"/>
      <c r="O19" s="8"/>
      <c r="P19" s="8"/>
      <c r="Q19" s="8"/>
      <c r="R19" s="8"/>
      <c r="S19" s="8"/>
      <c r="T19" s="8"/>
      <c r="U19" s="8"/>
    </row>
    <row r="20" spans="1:21" x14ac:dyDescent="0.45">
      <c r="A20" s="8"/>
      <c r="B20" s="8"/>
      <c r="C20" s="8"/>
      <c r="D20" s="8"/>
      <c r="E20" s="8"/>
      <c r="F20" s="8"/>
      <c r="G20" s="8"/>
      <c r="H20" s="8"/>
      <c r="I20" s="8"/>
      <c r="J20" s="8"/>
      <c r="K20" s="8"/>
      <c r="L20" s="8"/>
      <c r="M20" s="8"/>
      <c r="N20" s="8"/>
      <c r="O20" s="8"/>
      <c r="P20" s="8"/>
      <c r="Q20" s="8"/>
      <c r="R20" s="8"/>
      <c r="S20" s="8"/>
      <c r="T20" s="8"/>
      <c r="U20" s="8"/>
    </row>
    <row r="21" spans="1:21" x14ac:dyDescent="0.45">
      <c r="A21" s="8"/>
      <c r="B21" s="8"/>
      <c r="C21" s="8"/>
      <c r="D21" s="8"/>
      <c r="E21" s="8"/>
      <c r="F21" s="8"/>
      <c r="G21" s="8"/>
      <c r="H21" s="8"/>
      <c r="I21" s="8"/>
      <c r="J21" s="8"/>
      <c r="K21" s="8"/>
      <c r="L21" s="8"/>
      <c r="M21" s="8"/>
      <c r="N21" s="8"/>
      <c r="O21" s="8"/>
      <c r="P21" s="8"/>
      <c r="Q21" s="8"/>
      <c r="R21" s="8"/>
      <c r="S21" s="8"/>
      <c r="T21" s="8"/>
      <c r="U21" s="8"/>
    </row>
    <row r="22" spans="1:21" x14ac:dyDescent="0.45">
      <c r="A22" s="8"/>
      <c r="B22" s="8"/>
      <c r="C22" s="8"/>
      <c r="D22" s="8"/>
      <c r="E22" s="8"/>
      <c r="F22" s="8"/>
      <c r="G22" s="8"/>
      <c r="H22" s="8"/>
      <c r="I22" s="8"/>
      <c r="J22" s="8"/>
      <c r="K22" s="8"/>
      <c r="L22" s="8"/>
      <c r="M22" s="8"/>
      <c r="N22" s="8"/>
      <c r="O22" s="8"/>
      <c r="P22" s="8"/>
      <c r="Q22" s="8"/>
      <c r="R22" s="8"/>
      <c r="S22" s="8"/>
      <c r="T22" s="8"/>
      <c r="U22" s="8"/>
    </row>
    <row r="23" spans="1:21" x14ac:dyDescent="0.45">
      <c r="A23" s="8"/>
      <c r="B23" s="8"/>
      <c r="C23" s="8"/>
      <c r="D23" s="8"/>
      <c r="E23" s="8"/>
      <c r="F23" s="8"/>
      <c r="G23" s="8"/>
      <c r="H23" s="8"/>
      <c r="I23" s="8"/>
      <c r="J23" s="8"/>
      <c r="K23" s="8"/>
      <c r="L23" s="8"/>
      <c r="M23" s="8"/>
      <c r="N23" s="8"/>
      <c r="O23" s="8"/>
      <c r="P23" s="8"/>
      <c r="Q23" s="8"/>
      <c r="R23" s="8"/>
      <c r="S23" s="8"/>
      <c r="T23" s="8"/>
      <c r="U23" s="8"/>
    </row>
    <row r="24" spans="1:21" x14ac:dyDescent="0.45">
      <c r="A24" s="8"/>
      <c r="B24" s="8"/>
      <c r="C24" s="8"/>
      <c r="D24" s="8"/>
      <c r="E24" s="8"/>
      <c r="F24" s="8"/>
      <c r="G24" s="8"/>
      <c r="H24" s="8"/>
      <c r="I24" s="8"/>
      <c r="J24" s="8"/>
      <c r="K24" s="8"/>
      <c r="L24" s="8"/>
      <c r="M24" s="8"/>
      <c r="N24" s="8"/>
      <c r="O24" s="8"/>
      <c r="P24" s="8"/>
      <c r="Q24" s="8"/>
      <c r="R24" s="8"/>
      <c r="S24" s="8"/>
      <c r="T24" s="8"/>
      <c r="U24" s="8"/>
    </row>
    <row r="25" spans="1:21" x14ac:dyDescent="0.45">
      <c r="A25" s="8"/>
      <c r="B25" s="8"/>
      <c r="C25" s="8"/>
      <c r="D25" s="8"/>
      <c r="E25" s="8"/>
      <c r="F25" s="8"/>
      <c r="G25" s="8"/>
      <c r="H25" s="8"/>
      <c r="I25" s="8"/>
      <c r="J25" s="8"/>
      <c r="K25" s="8"/>
      <c r="L25" s="8"/>
      <c r="M25" s="8"/>
      <c r="N25" s="8"/>
      <c r="O25" s="8"/>
      <c r="P25" s="8"/>
      <c r="Q25" s="8"/>
      <c r="R25" s="8"/>
      <c r="S25" s="8"/>
      <c r="T25" s="8"/>
      <c r="U25" s="8"/>
    </row>
    <row r="26" spans="1:21" x14ac:dyDescent="0.45">
      <c r="A26" s="8"/>
      <c r="B26" s="8"/>
      <c r="C26" s="8"/>
      <c r="D26" s="8"/>
      <c r="E26" s="8"/>
      <c r="F26" s="8"/>
      <c r="G26" s="8"/>
      <c r="H26" s="8"/>
      <c r="I26" s="8"/>
      <c r="J26" s="8"/>
      <c r="K26" s="8"/>
      <c r="L26" s="8"/>
      <c r="M26" s="8"/>
      <c r="N26" s="8"/>
      <c r="O26" s="8"/>
      <c r="P26" s="8"/>
      <c r="Q26" s="8"/>
      <c r="R26" s="8"/>
      <c r="S26" s="8"/>
      <c r="T26" s="8"/>
      <c r="U26" s="8"/>
    </row>
    <row r="27" spans="1:21" x14ac:dyDescent="0.45">
      <c r="A27" s="8"/>
      <c r="B27" s="8"/>
      <c r="C27" s="8"/>
      <c r="D27" s="8"/>
      <c r="E27" s="8"/>
      <c r="F27" s="8"/>
      <c r="G27" s="8"/>
      <c r="H27" s="8"/>
      <c r="I27" s="8"/>
      <c r="J27" s="8"/>
      <c r="K27" s="8"/>
      <c r="L27" s="8"/>
      <c r="M27" s="8"/>
      <c r="N27" s="8"/>
      <c r="O27" s="8"/>
      <c r="P27" s="8"/>
      <c r="Q27" s="8"/>
      <c r="R27" s="8"/>
      <c r="S27" s="8"/>
      <c r="T27" s="8"/>
      <c r="U27" s="8"/>
    </row>
    <row r="28" spans="1:21" x14ac:dyDescent="0.45">
      <c r="A28" s="8"/>
      <c r="B28" s="8"/>
      <c r="C28" s="8"/>
      <c r="D28" s="8"/>
      <c r="E28" s="8"/>
      <c r="F28" s="8"/>
      <c r="G28" s="8"/>
      <c r="H28" s="8"/>
      <c r="I28" s="8"/>
      <c r="J28" s="8"/>
      <c r="K28" s="8"/>
      <c r="L28" s="8"/>
      <c r="M28" s="8"/>
      <c r="N28" s="8"/>
      <c r="O28" s="8"/>
      <c r="P28" s="8"/>
      <c r="Q28" s="8"/>
      <c r="R28" s="8"/>
      <c r="S28" s="8"/>
      <c r="T28" s="8"/>
      <c r="U28" s="8"/>
    </row>
    <row r="29" spans="1:21" x14ac:dyDescent="0.45">
      <c r="A29" s="8"/>
      <c r="B29" s="8"/>
      <c r="C29" s="8"/>
      <c r="D29" s="8"/>
      <c r="E29" s="8"/>
      <c r="F29" s="8"/>
      <c r="G29" s="8"/>
      <c r="H29" s="8"/>
      <c r="I29" s="8"/>
      <c r="J29" s="8"/>
      <c r="K29" s="8"/>
      <c r="L29" s="8"/>
      <c r="M29" s="8"/>
      <c r="N29" s="8"/>
      <c r="O29" s="8"/>
      <c r="P29" s="8"/>
      <c r="Q29" s="8"/>
      <c r="R29" s="8"/>
      <c r="S29" s="8"/>
      <c r="T29" s="8"/>
      <c r="U29" s="8"/>
    </row>
    <row r="30" spans="1:21" x14ac:dyDescent="0.45">
      <c r="A30" s="8"/>
      <c r="B30" s="8"/>
      <c r="C30" s="8"/>
      <c r="D30" s="8"/>
      <c r="E30" s="8"/>
      <c r="F30" s="8"/>
      <c r="G30" s="8"/>
      <c r="H30" s="8"/>
      <c r="I30" s="8"/>
      <c r="J30" s="8"/>
      <c r="K30" s="8"/>
      <c r="L30" s="8"/>
      <c r="M30" s="8"/>
      <c r="N30" s="8"/>
      <c r="O30" s="8"/>
      <c r="P30" s="8"/>
      <c r="Q30" s="8"/>
      <c r="R30" s="8"/>
      <c r="S30" s="8"/>
      <c r="T30" s="8"/>
      <c r="U30" s="8"/>
    </row>
    <row r="31" spans="1:21" x14ac:dyDescent="0.45">
      <c r="A31" s="8"/>
      <c r="B31" s="8"/>
      <c r="C31" s="8"/>
      <c r="D31" s="8"/>
      <c r="E31" s="8"/>
      <c r="F31" s="8"/>
      <c r="G31" s="8"/>
      <c r="H31" s="8"/>
      <c r="I31" s="8"/>
      <c r="J31" s="8"/>
      <c r="K31" s="8"/>
      <c r="L31" s="8"/>
      <c r="M31" s="8"/>
      <c r="N31" s="8"/>
      <c r="O31" s="8"/>
      <c r="P31" s="8"/>
      <c r="Q31" s="8"/>
      <c r="R31" s="8"/>
      <c r="S31" s="8"/>
      <c r="T31" s="8"/>
      <c r="U31" s="8"/>
    </row>
    <row r="32" spans="1:21" x14ac:dyDescent="0.45">
      <c r="A32" s="8"/>
      <c r="B32" s="8"/>
      <c r="C32" s="8"/>
      <c r="D32" s="8"/>
      <c r="E32" s="8"/>
      <c r="F32" s="8"/>
      <c r="G32" s="8"/>
      <c r="H32" s="8"/>
      <c r="I32" s="8"/>
      <c r="J32" s="8"/>
      <c r="K32" s="8"/>
      <c r="L32" s="8"/>
      <c r="M32" s="8"/>
      <c r="N32" s="8"/>
      <c r="O32" s="8"/>
      <c r="P32" s="8"/>
      <c r="Q32" s="8"/>
      <c r="R32" s="8"/>
      <c r="S32" s="8"/>
      <c r="T32" s="8"/>
      <c r="U32" s="8"/>
    </row>
    <row r="33" spans="1:21" x14ac:dyDescent="0.45">
      <c r="A33" s="8"/>
      <c r="B33" s="8"/>
      <c r="C33" s="8"/>
      <c r="D33" s="8"/>
      <c r="E33" s="8"/>
      <c r="F33" s="8"/>
      <c r="G33" s="8"/>
      <c r="H33" s="8"/>
      <c r="I33" s="8"/>
      <c r="J33" s="8"/>
      <c r="K33" s="8"/>
      <c r="L33" s="8"/>
      <c r="M33" s="8"/>
      <c r="N33" s="8"/>
      <c r="O33" s="8"/>
      <c r="P33" s="8"/>
      <c r="Q33" s="8"/>
      <c r="R33" s="8"/>
      <c r="S33" s="8"/>
      <c r="T33" s="8"/>
      <c r="U33" s="8"/>
    </row>
    <row r="34" spans="1:21" x14ac:dyDescent="0.45">
      <c r="A34" s="8"/>
      <c r="B34" s="8"/>
      <c r="C34" s="8"/>
      <c r="D34" s="8"/>
      <c r="E34" s="8"/>
      <c r="F34" s="8"/>
      <c r="G34" s="8"/>
      <c r="H34" s="8"/>
      <c r="I34" s="8"/>
      <c r="J34" s="8"/>
      <c r="K34" s="8"/>
      <c r="L34" s="8"/>
      <c r="M34" s="8"/>
      <c r="N34" s="8"/>
      <c r="O34" s="8"/>
      <c r="P34" s="8"/>
      <c r="Q34" s="8"/>
      <c r="R34" s="8"/>
      <c r="S34" s="8"/>
      <c r="T34" s="8"/>
      <c r="U34" s="8"/>
    </row>
    <row r="35" spans="1:21" x14ac:dyDescent="0.45">
      <c r="A35" s="8"/>
      <c r="B35" s="8"/>
      <c r="C35" s="8"/>
      <c r="D35" s="8"/>
      <c r="E35" s="8"/>
      <c r="F35" s="8"/>
      <c r="G35" s="8"/>
      <c r="H35" s="8"/>
      <c r="I35" s="8"/>
      <c r="J35" s="8"/>
      <c r="K35" s="8"/>
      <c r="L35" s="8"/>
      <c r="M35" s="8"/>
      <c r="N35" s="8"/>
      <c r="O35" s="8"/>
      <c r="P35" s="8"/>
      <c r="Q35" s="8"/>
      <c r="R35" s="8"/>
      <c r="S35" s="8"/>
      <c r="T35" s="8"/>
      <c r="U35" s="8"/>
    </row>
    <row r="36" spans="1:21" x14ac:dyDescent="0.45">
      <c r="A36" s="8"/>
      <c r="B36" s="8"/>
      <c r="C36" s="8"/>
      <c r="D36" s="8"/>
      <c r="E36" s="8"/>
      <c r="F36" s="8"/>
      <c r="G36" s="8"/>
      <c r="H36" s="8"/>
      <c r="I36" s="8"/>
      <c r="J36" s="8"/>
      <c r="K36" s="8"/>
      <c r="L36" s="8"/>
      <c r="M36" s="8"/>
      <c r="N36" s="8"/>
      <c r="O36" s="8"/>
      <c r="P36" s="8"/>
      <c r="Q36" s="8"/>
      <c r="R36" s="8"/>
      <c r="S36" s="8"/>
      <c r="T36" s="8"/>
      <c r="U36" s="8"/>
    </row>
    <row r="37" spans="1:21" x14ac:dyDescent="0.45">
      <c r="A37" s="8"/>
      <c r="B37" s="8"/>
      <c r="C37" s="8"/>
      <c r="D37" s="8"/>
      <c r="E37" s="8"/>
      <c r="F37" s="8"/>
      <c r="G37" s="8"/>
      <c r="H37" s="8"/>
      <c r="I37" s="8"/>
      <c r="J37" s="8"/>
      <c r="K37" s="8"/>
      <c r="L37" s="8"/>
      <c r="M37" s="8"/>
      <c r="N37" s="8"/>
      <c r="O37" s="8"/>
      <c r="P37" s="8"/>
      <c r="Q37" s="8"/>
      <c r="R37" s="8"/>
      <c r="S37" s="8"/>
      <c r="T37" s="8"/>
      <c r="U37" s="8"/>
    </row>
    <row r="38" spans="1:21" x14ac:dyDescent="0.45">
      <c r="A38" s="8"/>
      <c r="B38" s="8"/>
      <c r="C38" s="8"/>
      <c r="D38" s="8"/>
      <c r="E38" s="8"/>
      <c r="F38" s="8"/>
      <c r="G38" s="8"/>
      <c r="H38" s="8"/>
      <c r="I38" s="8"/>
      <c r="J38" s="8"/>
      <c r="K38" s="8"/>
      <c r="L38" s="8"/>
      <c r="M38" s="8"/>
      <c r="N38" s="8"/>
      <c r="O38" s="8"/>
      <c r="P38" s="8"/>
      <c r="Q38" s="8"/>
      <c r="R38" s="8"/>
      <c r="S38" s="8"/>
      <c r="T38" s="8"/>
      <c r="U38" s="8"/>
    </row>
    <row r="39" spans="1:21" x14ac:dyDescent="0.45">
      <c r="A39" s="8"/>
      <c r="B39" s="8"/>
      <c r="C39" s="8"/>
      <c r="D39" s="8"/>
      <c r="E39" s="8"/>
      <c r="F39" s="8"/>
      <c r="G39" s="8"/>
      <c r="H39" s="8"/>
      <c r="I39" s="8"/>
      <c r="J39" s="8"/>
      <c r="K39" s="8"/>
      <c r="L39" s="8"/>
      <c r="M39" s="8"/>
      <c r="N39" s="8"/>
      <c r="O39" s="8"/>
      <c r="P39" s="8"/>
      <c r="Q39" s="8"/>
      <c r="R39" s="8"/>
      <c r="S39" s="8"/>
      <c r="T39" s="8"/>
      <c r="U39" s="8"/>
    </row>
    <row r="40" spans="1:21" x14ac:dyDescent="0.45">
      <c r="A40" s="8"/>
      <c r="B40" s="8"/>
      <c r="C40" s="8"/>
      <c r="D40" s="8"/>
      <c r="E40" s="8"/>
      <c r="F40" s="8"/>
      <c r="G40" s="8"/>
      <c r="H40" s="8"/>
      <c r="I40" s="8"/>
      <c r="J40" s="8"/>
      <c r="K40" s="8"/>
      <c r="L40" s="8"/>
      <c r="M40" s="8"/>
      <c r="N40" s="8"/>
      <c r="O40" s="8"/>
      <c r="P40" s="8"/>
      <c r="Q40" s="8"/>
      <c r="R40" s="8"/>
      <c r="S40" s="8"/>
      <c r="T40" s="8"/>
      <c r="U40" s="8"/>
    </row>
    <row r="41" spans="1:21" x14ac:dyDescent="0.45">
      <c r="A41" s="8"/>
      <c r="B41" s="8"/>
      <c r="C41" s="8"/>
      <c r="D41" s="8"/>
      <c r="E41" s="8"/>
      <c r="F41" s="8"/>
      <c r="G41" s="8"/>
      <c r="H41" s="8"/>
      <c r="I41" s="8"/>
      <c r="J41" s="8"/>
      <c r="K41" s="8"/>
      <c r="L41" s="8"/>
      <c r="M41" s="8"/>
      <c r="N41" s="8"/>
      <c r="O41" s="8"/>
      <c r="P41" s="8"/>
      <c r="Q41" s="8"/>
      <c r="R41" s="8"/>
      <c r="S41" s="8"/>
      <c r="T41" s="8"/>
      <c r="U41" s="8"/>
    </row>
    <row r="42" spans="1:21" x14ac:dyDescent="0.45">
      <c r="A42" s="8"/>
      <c r="B42" s="8"/>
      <c r="C42" s="8"/>
      <c r="D42" s="8"/>
      <c r="E42" s="8"/>
      <c r="F42" s="8"/>
      <c r="G42" s="8"/>
      <c r="H42" s="8"/>
      <c r="I42" s="8"/>
      <c r="J42" s="8"/>
      <c r="K42" s="8"/>
      <c r="L42" s="8"/>
      <c r="M42" s="8"/>
      <c r="N42" s="8"/>
      <c r="O42" s="8"/>
      <c r="P42" s="8"/>
      <c r="Q42" s="8"/>
      <c r="R42" s="8"/>
      <c r="S42" s="8"/>
      <c r="T42" s="8"/>
      <c r="U42" s="8"/>
    </row>
    <row r="43" spans="1:21" x14ac:dyDescent="0.45">
      <c r="A43" s="8"/>
      <c r="B43" s="8"/>
      <c r="C43" s="8"/>
      <c r="D43" s="8"/>
      <c r="E43" s="8"/>
      <c r="F43" s="8"/>
      <c r="G43" s="8"/>
      <c r="H43" s="8"/>
      <c r="I43" s="8"/>
      <c r="J43" s="8"/>
      <c r="K43" s="8"/>
      <c r="L43" s="8"/>
      <c r="M43" s="8"/>
      <c r="N43" s="8"/>
      <c r="O43" s="8"/>
      <c r="P43" s="8"/>
      <c r="Q43" s="8"/>
      <c r="R43" s="8"/>
      <c r="S43" s="8"/>
      <c r="T43" s="8"/>
      <c r="U43" s="8"/>
    </row>
    <row r="44" spans="1:21" x14ac:dyDescent="0.45">
      <c r="A44" s="8"/>
      <c r="B44" s="8"/>
      <c r="C44" s="8"/>
      <c r="D44" s="8"/>
      <c r="E44" s="8"/>
      <c r="F44" s="8"/>
      <c r="G44" s="8"/>
      <c r="H44" s="8"/>
      <c r="I44" s="8"/>
      <c r="J44" s="8"/>
      <c r="K44" s="8"/>
      <c r="L44" s="8"/>
      <c r="M44" s="8"/>
      <c r="N44" s="8"/>
      <c r="O44" s="8"/>
      <c r="P44" s="8"/>
      <c r="Q44" s="8"/>
      <c r="R44" s="8"/>
      <c r="S44" s="8"/>
      <c r="T44" s="8"/>
      <c r="U44" s="8"/>
    </row>
    <row r="45" spans="1:21" x14ac:dyDescent="0.45">
      <c r="A45" s="8"/>
      <c r="B45" s="8"/>
      <c r="C45" s="8"/>
      <c r="D45" s="8"/>
      <c r="E45" s="8"/>
      <c r="F45" s="8"/>
      <c r="G45" s="8"/>
      <c r="H45" s="8"/>
      <c r="I45" s="8"/>
      <c r="J45" s="8"/>
      <c r="K45" s="8"/>
      <c r="L45" s="8"/>
      <c r="M45" s="8"/>
      <c r="N45" s="8"/>
      <c r="O45" s="8"/>
      <c r="P45" s="8"/>
      <c r="Q45" s="8"/>
      <c r="R45" s="8"/>
      <c r="S45" s="8"/>
      <c r="T45" s="8"/>
      <c r="U45" s="8"/>
    </row>
    <row r="46" spans="1:21" x14ac:dyDescent="0.45">
      <c r="A46" s="8"/>
      <c r="B46" s="8"/>
      <c r="C46" s="8"/>
      <c r="D46" s="8"/>
      <c r="E46" s="8"/>
      <c r="F46" s="8"/>
      <c r="G46" s="8"/>
      <c r="H46" s="8"/>
      <c r="I46" s="8"/>
      <c r="J46" s="8"/>
      <c r="K46" s="8"/>
      <c r="L46" s="8"/>
      <c r="M46" s="8"/>
      <c r="N46" s="8"/>
      <c r="O46" s="8"/>
      <c r="P46" s="8"/>
      <c r="Q46" s="8"/>
      <c r="R46" s="8"/>
      <c r="S46" s="8"/>
      <c r="T46" s="8"/>
      <c r="U46" s="8"/>
    </row>
    <row r="47" spans="1:21" x14ac:dyDescent="0.45">
      <c r="A47" s="8"/>
      <c r="B47" s="8"/>
      <c r="C47" s="8"/>
      <c r="D47" s="8"/>
      <c r="E47" s="8"/>
      <c r="F47" s="8"/>
      <c r="G47" s="8"/>
      <c r="H47" s="8"/>
      <c r="I47" s="8"/>
      <c r="J47" s="8"/>
      <c r="K47" s="8"/>
      <c r="L47" s="8"/>
      <c r="M47" s="8"/>
      <c r="N47" s="8"/>
      <c r="O47" s="8"/>
      <c r="P47" s="8"/>
      <c r="Q47" s="8"/>
      <c r="R47" s="8"/>
      <c r="S47" s="8"/>
      <c r="T47" s="8"/>
      <c r="U47" s="8"/>
    </row>
    <row r="48" spans="1:21" x14ac:dyDescent="0.45">
      <c r="A48" s="8"/>
      <c r="B48" s="8"/>
      <c r="C48" s="8"/>
      <c r="D48" s="8"/>
      <c r="E48" s="8"/>
      <c r="F48" s="8"/>
      <c r="G48" s="8"/>
      <c r="H48" s="8"/>
      <c r="I48" s="8"/>
      <c r="J48" s="8"/>
      <c r="K48" s="8"/>
      <c r="L48" s="8"/>
      <c r="M48" s="8"/>
      <c r="N48" s="8"/>
      <c r="O48" s="8"/>
      <c r="P48" s="8"/>
      <c r="Q48" s="8"/>
      <c r="R48" s="8"/>
      <c r="S48" s="8"/>
      <c r="T48" s="8"/>
      <c r="U48" s="8"/>
    </row>
    <row r="49" spans="1:21" x14ac:dyDescent="0.45">
      <c r="A49" s="8"/>
      <c r="B49" s="8"/>
      <c r="C49" s="8"/>
      <c r="D49" s="8"/>
      <c r="E49" s="8"/>
      <c r="F49" s="8"/>
      <c r="G49" s="8"/>
      <c r="H49" s="8"/>
      <c r="I49" s="8"/>
      <c r="J49" s="8"/>
      <c r="K49" s="8"/>
      <c r="L49" s="8"/>
      <c r="M49" s="8"/>
      <c r="N49" s="8"/>
      <c r="O49" s="8"/>
      <c r="P49" s="8"/>
      <c r="Q49" s="8"/>
      <c r="R49" s="8"/>
      <c r="S49" s="8"/>
      <c r="T49" s="8"/>
      <c r="U49" s="8"/>
    </row>
    <row r="50" spans="1:21" x14ac:dyDescent="0.45">
      <c r="A50" s="8"/>
      <c r="B50" s="8"/>
      <c r="C50" s="8"/>
      <c r="D50" s="8"/>
      <c r="E50" s="8"/>
      <c r="F50" s="8"/>
      <c r="G50" s="8"/>
      <c r="H50" s="8"/>
      <c r="I50" s="8"/>
      <c r="J50" s="8"/>
      <c r="K50" s="8"/>
      <c r="L50" s="8"/>
      <c r="M50" s="8"/>
      <c r="N50" s="8"/>
      <c r="O50" s="8"/>
      <c r="P50" s="8"/>
      <c r="Q50" s="8"/>
      <c r="R50" s="8"/>
      <c r="S50" s="8"/>
      <c r="T50" s="8"/>
      <c r="U50" s="8"/>
    </row>
    <row r="51" spans="1:21" x14ac:dyDescent="0.45">
      <c r="A51" s="8"/>
      <c r="B51" s="8"/>
      <c r="C51" s="8"/>
      <c r="D51" s="8"/>
      <c r="E51" s="8"/>
      <c r="F51" s="8"/>
      <c r="G51" s="8"/>
      <c r="H51" s="8"/>
      <c r="I51" s="8"/>
      <c r="J51" s="8"/>
      <c r="K51" s="8"/>
      <c r="L51" s="8"/>
      <c r="M51" s="8"/>
      <c r="N51" s="8"/>
      <c r="O51" s="8"/>
      <c r="P51" s="8"/>
      <c r="Q51" s="8"/>
      <c r="R51" s="8"/>
      <c r="S51" s="8"/>
      <c r="T51" s="8"/>
      <c r="U51" s="8"/>
    </row>
    <row r="52" spans="1:21" x14ac:dyDescent="0.45">
      <c r="A52" s="8"/>
      <c r="B52" s="8"/>
      <c r="C52" s="8"/>
      <c r="D52" s="8"/>
      <c r="E52" s="8"/>
      <c r="F52" s="8"/>
      <c r="G52" s="8"/>
      <c r="H52" s="8"/>
      <c r="I52" s="8"/>
      <c r="J52" s="8"/>
      <c r="K52" s="8"/>
      <c r="L52" s="8"/>
      <c r="M52" s="8"/>
      <c r="N52" s="8"/>
      <c r="O52" s="8"/>
      <c r="P52" s="8"/>
      <c r="Q52" s="8"/>
      <c r="R52" s="8"/>
      <c r="S52" s="8"/>
      <c r="T52" s="8"/>
      <c r="U52" s="8"/>
    </row>
    <row r="53" spans="1:21" x14ac:dyDescent="0.45">
      <c r="A53" s="8"/>
      <c r="B53" s="8"/>
      <c r="C53" s="8"/>
      <c r="D53" s="8"/>
      <c r="E53" s="8"/>
      <c r="F53" s="8"/>
      <c r="G53" s="8"/>
      <c r="H53" s="8"/>
      <c r="I53" s="8"/>
      <c r="J53" s="8"/>
      <c r="K53" s="8"/>
      <c r="L53" s="8"/>
      <c r="M53" s="8"/>
      <c r="N53" s="8"/>
      <c r="O53" s="8"/>
      <c r="P53" s="8"/>
      <c r="Q53" s="8"/>
      <c r="R53" s="8"/>
      <c r="S53" s="8"/>
      <c r="T53" s="8"/>
      <c r="U53" s="8"/>
    </row>
    <row r="54" spans="1:21" x14ac:dyDescent="0.45">
      <c r="A54" s="8"/>
      <c r="B54" s="8"/>
      <c r="C54" s="8"/>
      <c r="D54" s="8"/>
      <c r="E54" s="8"/>
      <c r="F54" s="8"/>
      <c r="G54" s="8"/>
      <c r="H54" s="8"/>
      <c r="I54" s="8"/>
      <c r="J54" s="8"/>
      <c r="K54" s="8"/>
      <c r="L54" s="8"/>
      <c r="M54" s="8"/>
      <c r="N54" s="8"/>
      <c r="O54" s="8"/>
      <c r="P54" s="8"/>
      <c r="Q54" s="8"/>
      <c r="R54" s="8"/>
      <c r="S54" s="8"/>
      <c r="T54" s="8"/>
      <c r="U54" s="8"/>
    </row>
    <row r="55" spans="1:21" x14ac:dyDescent="0.45">
      <c r="A55" s="8"/>
      <c r="B55" s="8"/>
      <c r="C55" s="8"/>
      <c r="D55" s="8"/>
      <c r="E55" s="8"/>
      <c r="F55" s="8"/>
      <c r="G55" s="8"/>
      <c r="H55" s="8"/>
      <c r="I55" s="8"/>
      <c r="J55" s="8"/>
      <c r="K55" s="8"/>
      <c r="L55" s="8"/>
      <c r="M55" s="8"/>
      <c r="N55" s="8"/>
      <c r="O55" s="8"/>
      <c r="P55" s="8"/>
      <c r="Q55" s="8"/>
      <c r="R55" s="8"/>
      <c r="S55" s="8"/>
      <c r="T55" s="8"/>
      <c r="U55" s="8"/>
    </row>
    <row r="56" spans="1:21" x14ac:dyDescent="0.45">
      <c r="A56" s="8"/>
      <c r="B56" s="8"/>
      <c r="C56" s="8"/>
      <c r="D56" s="8"/>
      <c r="E56" s="8"/>
      <c r="F56" s="8"/>
      <c r="G56" s="8"/>
      <c r="H56" s="8"/>
      <c r="I56" s="8"/>
      <c r="J56" s="8"/>
      <c r="K56" s="8"/>
      <c r="L56" s="8"/>
      <c r="M56" s="8"/>
      <c r="N56" s="8"/>
      <c r="O56" s="8"/>
      <c r="P56" s="8"/>
      <c r="Q56" s="8"/>
      <c r="R56" s="8"/>
      <c r="S56" s="8"/>
      <c r="T56" s="8"/>
      <c r="U56" s="8"/>
    </row>
    <row r="57" spans="1:21" x14ac:dyDescent="0.45">
      <c r="A57" s="8"/>
      <c r="B57" s="8"/>
      <c r="C57" s="8"/>
      <c r="D57" s="8"/>
      <c r="E57" s="8"/>
      <c r="F57" s="8"/>
      <c r="G57" s="8"/>
      <c r="H57" s="8"/>
      <c r="I57" s="8"/>
      <c r="J57" s="8"/>
      <c r="K57" s="8"/>
      <c r="L57" s="8"/>
      <c r="M57" s="8"/>
      <c r="N57" s="8"/>
      <c r="O57" s="8"/>
      <c r="P57" s="8"/>
      <c r="Q57" s="8"/>
      <c r="R57" s="8"/>
      <c r="S57" s="8"/>
      <c r="T57" s="8"/>
      <c r="U57" s="8"/>
    </row>
    <row r="58" spans="1:21" x14ac:dyDescent="0.45">
      <c r="A58" s="8"/>
      <c r="B58" s="8"/>
      <c r="C58" s="8"/>
      <c r="D58" s="8"/>
      <c r="E58" s="8"/>
      <c r="F58" s="8"/>
      <c r="G58" s="8"/>
      <c r="H58" s="8"/>
      <c r="I58" s="8"/>
      <c r="J58" s="8"/>
      <c r="K58" s="8"/>
      <c r="L58" s="8"/>
      <c r="M58" s="8"/>
      <c r="N58" s="8"/>
      <c r="O58" s="8"/>
      <c r="P58" s="8"/>
      <c r="Q58" s="8"/>
      <c r="R58" s="8"/>
      <c r="S58" s="8"/>
      <c r="T58" s="8"/>
      <c r="U58" s="8"/>
    </row>
    <row r="59" spans="1:21" x14ac:dyDescent="0.45">
      <c r="A59" s="8"/>
      <c r="B59" s="8"/>
      <c r="C59" s="8"/>
      <c r="D59" s="8"/>
      <c r="E59" s="8"/>
      <c r="F59" s="8"/>
      <c r="G59" s="8"/>
      <c r="H59" s="8"/>
      <c r="I59" s="8"/>
      <c r="J59" s="8"/>
      <c r="K59" s="8"/>
      <c r="L59" s="8"/>
      <c r="M59" s="8"/>
      <c r="N59" s="8"/>
      <c r="O59" s="8"/>
      <c r="P59" s="8"/>
      <c r="Q59" s="8"/>
      <c r="R59" s="8"/>
      <c r="S59" s="8"/>
      <c r="T59" s="8"/>
      <c r="U59" s="8"/>
    </row>
    <row r="60" spans="1:21" x14ac:dyDescent="0.45">
      <c r="A60" s="8"/>
      <c r="B60" s="8"/>
      <c r="C60" s="8"/>
      <c r="D60" s="8"/>
      <c r="E60" s="8"/>
      <c r="F60" s="8"/>
      <c r="G60" s="8"/>
      <c r="H60" s="8"/>
      <c r="I60" s="8"/>
      <c r="J60" s="8"/>
      <c r="K60" s="8"/>
      <c r="L60" s="8"/>
      <c r="M60" s="8"/>
      <c r="N60" s="8"/>
      <c r="O60" s="8"/>
      <c r="P60" s="8"/>
      <c r="Q60" s="8"/>
      <c r="R60" s="8"/>
      <c r="S60" s="8"/>
      <c r="T60" s="8"/>
      <c r="U60" s="8"/>
    </row>
    <row r="61" spans="1:21" x14ac:dyDescent="0.45">
      <c r="A61" s="8"/>
      <c r="B61" s="8"/>
      <c r="C61" s="8"/>
      <c r="D61" s="8"/>
      <c r="E61" s="8"/>
      <c r="F61" s="8"/>
      <c r="G61" s="8"/>
      <c r="H61" s="8"/>
      <c r="I61" s="8"/>
      <c r="J61" s="8"/>
      <c r="K61" s="8"/>
      <c r="L61" s="8"/>
      <c r="M61" s="8"/>
      <c r="N61" s="8"/>
      <c r="O61" s="8"/>
      <c r="P61" s="8"/>
      <c r="Q61" s="8"/>
      <c r="R61" s="8"/>
      <c r="S61" s="8"/>
      <c r="T61" s="8"/>
      <c r="U61" s="8"/>
    </row>
    <row r="62" spans="1:21" x14ac:dyDescent="0.45">
      <c r="A62" s="8"/>
      <c r="B62" s="8"/>
      <c r="C62" s="8"/>
      <c r="D62" s="8"/>
      <c r="E62" s="8"/>
      <c r="F62" s="8"/>
      <c r="G62" s="8"/>
      <c r="H62" s="8"/>
      <c r="I62" s="8"/>
      <c r="J62" s="8"/>
      <c r="K62" s="8"/>
      <c r="L62" s="8"/>
      <c r="M62" s="8"/>
      <c r="N62" s="8"/>
      <c r="O62" s="8"/>
      <c r="P62" s="8"/>
      <c r="Q62" s="8"/>
      <c r="R62" s="8"/>
      <c r="S62" s="8"/>
      <c r="T62" s="8"/>
      <c r="U62" s="8"/>
    </row>
    <row r="63" spans="1:21" x14ac:dyDescent="0.45">
      <c r="A63" s="8"/>
      <c r="B63" s="8"/>
      <c r="C63" s="8"/>
      <c r="D63" s="8"/>
      <c r="E63" s="8"/>
      <c r="F63" s="8"/>
      <c r="G63" s="8"/>
      <c r="H63" s="8"/>
      <c r="I63" s="8"/>
      <c r="J63" s="8"/>
      <c r="K63" s="8"/>
      <c r="L63" s="8"/>
      <c r="M63" s="8"/>
      <c r="N63" s="8"/>
      <c r="O63" s="8"/>
      <c r="P63" s="8"/>
      <c r="Q63" s="8"/>
      <c r="R63" s="8"/>
      <c r="S63" s="8"/>
      <c r="T63" s="8"/>
      <c r="U63" s="8"/>
    </row>
    <row r="64" spans="1:21" x14ac:dyDescent="0.45">
      <c r="A64" s="8"/>
      <c r="B64" s="8"/>
      <c r="C64" s="8"/>
      <c r="D64" s="8"/>
      <c r="E64" s="8"/>
      <c r="F64" s="8"/>
      <c r="G64" s="8"/>
      <c r="H64" s="8"/>
      <c r="I64" s="8"/>
      <c r="J64" s="8"/>
      <c r="K64" s="8"/>
      <c r="L64" s="8"/>
      <c r="M64" s="8"/>
      <c r="N64" s="8"/>
      <c r="O64" s="8"/>
      <c r="P64" s="8"/>
      <c r="Q64" s="8"/>
      <c r="R64" s="8"/>
      <c r="S64" s="8"/>
      <c r="T64" s="8"/>
      <c r="U64" s="8"/>
    </row>
    <row r="65" spans="1:21" x14ac:dyDescent="0.45">
      <c r="A65" s="8"/>
      <c r="B65" s="8"/>
      <c r="C65" s="8"/>
      <c r="D65" s="8"/>
      <c r="E65" s="8"/>
      <c r="F65" s="8"/>
      <c r="G65" s="8"/>
      <c r="H65" s="8"/>
      <c r="I65" s="8"/>
      <c r="J65" s="8"/>
      <c r="K65" s="8"/>
      <c r="L65" s="8"/>
      <c r="M65" s="8"/>
      <c r="N65" s="8"/>
      <c r="O65" s="8"/>
      <c r="P65" s="8"/>
      <c r="Q65" s="8"/>
      <c r="R65" s="8"/>
      <c r="S65" s="8"/>
      <c r="T65" s="8"/>
      <c r="U65" s="8"/>
    </row>
    <row r="66" spans="1:21" x14ac:dyDescent="0.45">
      <c r="A66" s="8"/>
      <c r="B66" s="8"/>
      <c r="C66" s="8"/>
      <c r="D66" s="8"/>
      <c r="E66" s="8"/>
      <c r="F66" s="8"/>
      <c r="G66" s="8"/>
      <c r="H66" s="8"/>
      <c r="I66" s="8"/>
      <c r="J66" s="8"/>
      <c r="K66" s="8"/>
      <c r="L66" s="8"/>
      <c r="M66" s="8"/>
      <c r="N66" s="8"/>
      <c r="O66" s="8"/>
      <c r="P66" s="8"/>
      <c r="Q66" s="8"/>
      <c r="R66" s="8"/>
      <c r="S66" s="8"/>
      <c r="T66" s="8"/>
      <c r="U66" s="8"/>
    </row>
    <row r="67" spans="1:21" x14ac:dyDescent="0.45">
      <c r="A67" s="8"/>
      <c r="B67" s="8"/>
      <c r="C67" s="8"/>
      <c r="D67" s="8"/>
      <c r="E67" s="8"/>
      <c r="F67" s="8"/>
      <c r="G67" s="8"/>
      <c r="H67" s="8"/>
      <c r="I67" s="8"/>
      <c r="J67" s="8"/>
      <c r="K67" s="8"/>
      <c r="L67" s="8"/>
      <c r="M67" s="8"/>
      <c r="N67" s="8"/>
      <c r="O67" s="8"/>
      <c r="P67" s="8"/>
      <c r="Q67" s="8"/>
      <c r="R67" s="8"/>
      <c r="S67" s="8"/>
      <c r="T67" s="8"/>
      <c r="U67" s="8"/>
    </row>
    <row r="68" spans="1:21" x14ac:dyDescent="0.45">
      <c r="A68" s="8"/>
      <c r="B68" s="8"/>
      <c r="C68" s="8"/>
      <c r="D68" s="8"/>
      <c r="E68" s="8"/>
      <c r="F68" s="8"/>
      <c r="G68" s="8"/>
      <c r="H68" s="8"/>
      <c r="I68" s="8"/>
      <c r="J68" s="8"/>
      <c r="K68" s="8"/>
      <c r="L68" s="8"/>
      <c r="M68" s="8"/>
      <c r="N68" s="8"/>
      <c r="O68" s="8"/>
      <c r="P68" s="8"/>
      <c r="Q68" s="8"/>
      <c r="R68" s="8"/>
      <c r="S68" s="8"/>
      <c r="T68" s="8"/>
      <c r="U68" s="8"/>
    </row>
  </sheetData>
  <mergeCells count="1">
    <mergeCell ref="A1:U4"/>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Data_set </vt:lpstr>
      <vt:lpstr>Task 1</vt:lpstr>
      <vt:lpstr>Task 2</vt:lpstr>
      <vt:lpstr>Task 3</vt:lpstr>
      <vt:lpstr>Task 4</vt:lpstr>
      <vt:lpstr>Task 5</vt:lpstr>
      <vt:lpstr>Task 6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Mayuri Kukdeja</cp:lastModifiedBy>
  <dcterms:created xsi:type="dcterms:W3CDTF">2026-05-24T12:12:17Z</dcterms:created>
  <dcterms:modified xsi:type="dcterms:W3CDTF">2026-05-26T11:10:22Z</dcterms:modified>
</cp:coreProperties>
</file>